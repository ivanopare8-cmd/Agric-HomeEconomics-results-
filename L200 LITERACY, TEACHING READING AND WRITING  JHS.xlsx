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1fb083c58322587/Desktop/"/>
    </mc:Choice>
  </mc:AlternateContent>
  <xr:revisionPtr revIDLastSave="51" documentId="8_{01ECE3CA-AE11-4356-A7F7-EF32E59D6D2B}" xr6:coauthVersionLast="47" xr6:coauthVersionMax="47" xr10:uidLastSave="{A3B12317-DFC3-4FEB-8338-A45FD15C26E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I53" i="1" s="1"/>
  <c r="J53" i="1" s="1"/>
  <c r="H54" i="1"/>
  <c r="I54" i="1" s="1"/>
  <c r="J54" i="1" s="1"/>
  <c r="H55" i="1"/>
  <c r="H56" i="1"/>
  <c r="I56" i="1" s="1"/>
  <c r="H57" i="1"/>
  <c r="I57" i="1" s="1"/>
  <c r="J57" i="1" s="1"/>
  <c r="H58" i="1"/>
  <c r="I58" i="1" s="1"/>
  <c r="J58" i="1" s="1"/>
  <c r="H59" i="1"/>
  <c r="I59" i="1" s="1"/>
  <c r="J59" i="1" s="1"/>
  <c r="H60" i="1"/>
  <c r="I60" i="1" s="1"/>
  <c r="H61" i="1"/>
  <c r="I61" i="1" s="1"/>
  <c r="J61" i="1" s="1"/>
  <c r="H62" i="1"/>
  <c r="I62" i="1" s="1"/>
  <c r="J62" i="1" s="1"/>
  <c r="H63" i="1"/>
  <c r="I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 s="1"/>
  <c r="J75" i="1" s="1"/>
  <c r="H76" i="1"/>
  <c r="I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J86" i="1" s="1"/>
  <c r="H87" i="1"/>
  <c r="I87" i="1" s="1"/>
  <c r="J87" i="1" s="1"/>
  <c r="H88" i="1"/>
  <c r="I88" i="1" s="1"/>
  <c r="J88" i="1" s="1"/>
  <c r="H89" i="1"/>
  <c r="I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H94" i="1"/>
  <c r="I94" i="1" s="1"/>
  <c r="J94" i="1" s="1"/>
  <c r="H95" i="1"/>
  <c r="I95" i="1" s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I103" i="1" s="1"/>
  <c r="H104" i="1"/>
  <c r="I104" i="1" s="1"/>
  <c r="J104" i="1" s="1"/>
  <c r="H105" i="1"/>
  <c r="I105" i="1" s="1"/>
  <c r="J105" i="1" s="1"/>
  <c r="H106" i="1"/>
  <c r="I106" i="1" s="1"/>
  <c r="J106" i="1" s="1"/>
  <c r="H107" i="1"/>
  <c r="I107" i="1" s="1"/>
  <c r="J107" i="1" s="1"/>
  <c r="H108" i="1"/>
  <c r="I108" i="1" s="1"/>
  <c r="H109" i="1"/>
  <c r="I109" i="1" s="1"/>
  <c r="J109" i="1" s="1"/>
  <c r="H110" i="1"/>
  <c r="I110" i="1" s="1"/>
  <c r="J110" i="1" s="1"/>
  <c r="H111" i="1"/>
  <c r="I111" i="1" s="1"/>
  <c r="H112" i="1"/>
  <c r="I112" i="1" s="1"/>
  <c r="J112" i="1" s="1"/>
  <c r="H113" i="1"/>
  <c r="I113" i="1" s="1"/>
  <c r="J113" i="1" s="1"/>
  <c r="H114" i="1"/>
  <c r="I114" i="1" s="1"/>
  <c r="J114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H121" i="1"/>
  <c r="I121" i="1" s="1"/>
  <c r="J121" i="1" s="1"/>
  <c r="H122" i="1"/>
  <c r="I122" i="1" s="1"/>
  <c r="J122" i="1" s="1"/>
  <c r="H123" i="1"/>
  <c r="I123" i="1" s="1"/>
  <c r="J123" i="1" s="1"/>
  <c r="H124" i="1"/>
  <c r="I124" i="1" s="1"/>
  <c r="J124" i="1" s="1"/>
  <c r="H125" i="1"/>
  <c r="I125" i="1" s="1"/>
  <c r="J125" i="1" s="1"/>
  <c r="H126" i="1"/>
  <c r="I126" i="1" s="1"/>
  <c r="J126" i="1" s="1"/>
  <c r="H127" i="1"/>
  <c r="I127" i="1" s="1"/>
  <c r="H128" i="1"/>
  <c r="I128" i="1" s="1"/>
  <c r="H129" i="1"/>
  <c r="I129" i="1" s="1"/>
  <c r="J129" i="1" s="1"/>
  <c r="H130" i="1"/>
  <c r="I130" i="1" s="1"/>
  <c r="J130" i="1" s="1"/>
  <c r="H131" i="1"/>
  <c r="I131" i="1" s="1"/>
  <c r="J131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I135" i="1" s="1"/>
  <c r="J135" i="1" s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0" i="1"/>
  <c r="I140" i="1" s="1"/>
  <c r="H141" i="1"/>
  <c r="I141" i="1" s="1"/>
  <c r="J141" i="1" s="1"/>
  <c r="H142" i="1"/>
  <c r="I142" i="1" s="1"/>
  <c r="J142" i="1" s="1"/>
  <c r="H143" i="1"/>
  <c r="I143" i="1" s="1"/>
  <c r="J143" i="1" s="1"/>
  <c r="H144" i="1"/>
  <c r="I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49" i="1"/>
  <c r="I149" i="1" s="1"/>
  <c r="J149" i="1" s="1"/>
  <c r="H150" i="1"/>
  <c r="I150" i="1" s="1"/>
  <c r="J150" i="1" s="1"/>
  <c r="H151" i="1"/>
  <c r="I151" i="1" s="1"/>
  <c r="H152" i="1"/>
  <c r="I152" i="1" s="1"/>
  <c r="J152" i="1" s="1"/>
  <c r="H153" i="1"/>
  <c r="I153" i="1" s="1"/>
  <c r="H154" i="1"/>
  <c r="I154" i="1" s="1"/>
  <c r="J154" i="1" s="1"/>
  <c r="H155" i="1"/>
  <c r="I155" i="1" s="1"/>
  <c r="J155" i="1" s="1"/>
  <c r="H156" i="1"/>
  <c r="I156" i="1" s="1"/>
  <c r="H157" i="1"/>
  <c r="I157" i="1" s="1"/>
  <c r="J157" i="1" s="1"/>
  <c r="H158" i="1"/>
  <c r="I158" i="1" s="1"/>
  <c r="J158" i="1" s="1"/>
  <c r="H159" i="1"/>
  <c r="I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H165" i="1"/>
  <c r="I165" i="1" s="1"/>
  <c r="H166" i="1"/>
  <c r="I166" i="1" s="1"/>
  <c r="J166" i="1" s="1"/>
  <c r="H167" i="1"/>
  <c r="I167" i="1" s="1"/>
  <c r="H168" i="1"/>
  <c r="I168" i="1" s="1"/>
  <c r="J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J173" i="1" s="1"/>
  <c r="H174" i="1"/>
  <c r="I174" i="1" s="1"/>
  <c r="J174" i="1" s="1"/>
  <c r="H175" i="1"/>
  <c r="I175" i="1" s="1"/>
  <c r="J175" i="1" s="1"/>
  <c r="H176" i="1"/>
  <c r="I176" i="1" s="1"/>
  <c r="J176" i="1" s="1"/>
  <c r="H177" i="1"/>
  <c r="I177" i="1" s="1"/>
  <c r="H178" i="1"/>
  <c r="I178" i="1" s="1"/>
  <c r="J178" i="1" s="1"/>
  <c r="H179" i="1"/>
  <c r="I179" i="1" s="1"/>
  <c r="J179" i="1" s="1"/>
  <c r="H180" i="1"/>
  <c r="I180" i="1" s="1"/>
  <c r="H181" i="1"/>
  <c r="I181" i="1" s="1"/>
  <c r="J181" i="1" s="1"/>
  <c r="H182" i="1"/>
  <c r="I182" i="1" s="1"/>
  <c r="J182" i="1" s="1"/>
  <c r="H183" i="1"/>
  <c r="I183" i="1" s="1"/>
  <c r="H184" i="1"/>
  <c r="I184" i="1" s="1"/>
  <c r="J184" i="1" s="1"/>
  <c r="H185" i="1"/>
  <c r="I185" i="1" s="1"/>
  <c r="J185" i="1" s="1"/>
  <c r="H186" i="1"/>
  <c r="I186" i="1" s="1"/>
  <c r="J186" i="1" s="1"/>
  <c r="H187" i="1"/>
  <c r="I187" i="1" s="1"/>
  <c r="J187" i="1" s="1"/>
  <c r="H188" i="1"/>
  <c r="I188" i="1" s="1"/>
  <c r="J188" i="1" s="1"/>
  <c r="H189" i="1"/>
  <c r="I189" i="1" s="1"/>
  <c r="H190" i="1"/>
  <c r="I190" i="1" s="1"/>
  <c r="J190" i="1" s="1"/>
  <c r="H191" i="1"/>
  <c r="I191" i="1" s="1"/>
  <c r="H192" i="1"/>
  <c r="I192" i="1" s="1"/>
  <c r="J192" i="1" s="1"/>
  <c r="H193" i="1"/>
  <c r="I193" i="1" s="1"/>
  <c r="J193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J197" i="1" s="1"/>
  <c r="H198" i="1"/>
  <c r="I198" i="1" s="1"/>
  <c r="J198" i="1" s="1"/>
  <c r="H199" i="1"/>
  <c r="I199" i="1" s="1"/>
  <c r="J199" i="1" s="1"/>
  <c r="H200" i="1"/>
  <c r="I200" i="1" s="1"/>
  <c r="J200" i="1" s="1"/>
  <c r="H201" i="1"/>
  <c r="I201" i="1" s="1"/>
  <c r="J201" i="1" s="1"/>
  <c r="H202" i="1"/>
  <c r="I202" i="1" s="1"/>
  <c r="J202" i="1" s="1"/>
  <c r="H203" i="1"/>
  <c r="I203" i="1" s="1"/>
  <c r="J203" i="1" s="1"/>
  <c r="H204" i="1"/>
  <c r="I204" i="1" s="1"/>
  <c r="H205" i="1"/>
  <c r="I205" i="1" s="1"/>
  <c r="J205" i="1" s="1"/>
  <c r="H206" i="1"/>
  <c r="I206" i="1" s="1"/>
  <c r="J206" i="1" s="1"/>
  <c r="H207" i="1"/>
  <c r="I207" i="1" s="1"/>
  <c r="H208" i="1"/>
  <c r="I208" i="1" s="1"/>
  <c r="J208" i="1" s="1"/>
  <c r="H209" i="1"/>
  <c r="I209" i="1" s="1"/>
  <c r="J209" i="1" s="1"/>
  <c r="H210" i="1"/>
  <c r="I210" i="1" s="1"/>
  <c r="J210" i="1" s="1"/>
  <c r="H211" i="1"/>
  <c r="I211" i="1" s="1"/>
  <c r="J211" i="1" s="1"/>
  <c r="H212" i="1"/>
  <c r="I212" i="1" s="1"/>
  <c r="J212" i="1" s="1"/>
  <c r="H213" i="1"/>
  <c r="I213" i="1" s="1"/>
  <c r="J213" i="1" s="1"/>
  <c r="H214" i="1"/>
  <c r="I214" i="1" s="1"/>
  <c r="J214" i="1" s="1"/>
  <c r="H215" i="1"/>
  <c r="I215" i="1" s="1"/>
  <c r="J215" i="1" s="1"/>
  <c r="H216" i="1"/>
  <c r="I216" i="1" s="1"/>
  <c r="H217" i="1"/>
  <c r="I217" i="1" s="1"/>
  <c r="J217" i="1" s="1"/>
  <c r="H218" i="1"/>
  <c r="I218" i="1" s="1"/>
  <c r="J218" i="1" s="1"/>
  <c r="H219" i="1"/>
  <c r="I219" i="1" s="1"/>
  <c r="J219" i="1" s="1"/>
  <c r="H220" i="1"/>
  <c r="I220" i="1" s="1"/>
  <c r="H221" i="1"/>
  <c r="I221" i="1" s="1"/>
  <c r="H222" i="1"/>
  <c r="I222" i="1" s="1"/>
  <c r="J222" i="1" s="1"/>
  <c r="H223" i="1"/>
  <c r="I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28" i="1"/>
  <c r="I228" i="1" s="1"/>
  <c r="H229" i="1"/>
  <c r="I229" i="1" s="1"/>
  <c r="H230" i="1"/>
  <c r="I230" i="1" s="1"/>
  <c r="J230" i="1" s="1"/>
  <c r="H231" i="1"/>
  <c r="I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H245" i="1"/>
  <c r="I245" i="1" s="1"/>
  <c r="J245" i="1" s="1"/>
  <c r="H246" i="1"/>
  <c r="I246" i="1" s="1"/>
  <c r="J246" i="1" s="1"/>
  <c r="H247" i="1"/>
  <c r="I247" i="1" s="1"/>
  <c r="H248" i="1"/>
  <c r="I248" i="1" s="1"/>
  <c r="J248" i="1" s="1"/>
  <c r="H249" i="1"/>
  <c r="I249" i="1" s="1"/>
  <c r="J249" i="1" s="1"/>
  <c r="H250" i="1"/>
  <c r="I250" i="1" s="1"/>
  <c r="J250" i="1" s="1"/>
  <c r="H251" i="1"/>
  <c r="I251" i="1" s="1"/>
  <c r="J251" i="1" s="1"/>
  <c r="H252" i="1"/>
  <c r="I252" i="1" s="1"/>
  <c r="J252" i="1" s="1"/>
  <c r="H253" i="1"/>
  <c r="I253" i="1" s="1"/>
  <c r="J253" i="1" s="1"/>
  <c r="H254" i="1"/>
  <c r="I254" i="1" s="1"/>
  <c r="J254" i="1" s="1"/>
  <c r="H255" i="1"/>
  <c r="I255" i="1" s="1"/>
  <c r="H256" i="1"/>
  <c r="I256" i="1" s="1"/>
  <c r="H257" i="1"/>
  <c r="I257" i="1" s="1"/>
  <c r="J257" i="1" s="1"/>
  <c r="H258" i="1"/>
  <c r="I258" i="1" s="1"/>
  <c r="J258" i="1" s="1"/>
  <c r="H259" i="1"/>
  <c r="I259" i="1" s="1"/>
  <c r="J259" i="1" s="1"/>
  <c r="H260" i="1"/>
  <c r="I260" i="1" s="1"/>
  <c r="J260" i="1" s="1"/>
  <c r="H261" i="1"/>
  <c r="I261" i="1" s="1"/>
  <c r="J261" i="1" s="1"/>
  <c r="H262" i="1"/>
  <c r="I262" i="1" s="1"/>
  <c r="J262" i="1" s="1"/>
  <c r="H263" i="1"/>
  <c r="I263" i="1" s="1"/>
  <c r="J263" i="1" s="1"/>
  <c r="H264" i="1"/>
  <c r="I264" i="1" s="1"/>
  <c r="J264" i="1" s="1"/>
  <c r="H265" i="1"/>
  <c r="I265" i="1" s="1"/>
  <c r="J265" i="1" s="1"/>
  <c r="H266" i="1"/>
  <c r="I266" i="1" s="1"/>
  <c r="J266" i="1" s="1"/>
  <c r="H267" i="1"/>
  <c r="I267" i="1" s="1"/>
  <c r="J267" i="1" s="1"/>
  <c r="H268" i="1"/>
  <c r="I268" i="1" s="1"/>
  <c r="H269" i="1"/>
  <c r="I269" i="1" s="1"/>
  <c r="J269" i="1" s="1"/>
  <c r="H270" i="1"/>
  <c r="I270" i="1" s="1"/>
  <c r="J270" i="1" s="1"/>
  <c r="H271" i="1"/>
  <c r="I271" i="1" s="1"/>
  <c r="J271" i="1" s="1"/>
  <c r="H272" i="1"/>
  <c r="I272" i="1" s="1"/>
  <c r="H273" i="1"/>
  <c r="I273" i="1" s="1"/>
  <c r="J273" i="1" s="1"/>
  <c r="H274" i="1"/>
  <c r="I274" i="1" s="1"/>
  <c r="J274" i="1" s="1"/>
  <c r="H275" i="1"/>
  <c r="I275" i="1" s="1"/>
  <c r="J275" i="1" s="1"/>
  <c r="H276" i="1"/>
  <c r="I276" i="1" s="1"/>
  <c r="J276" i="1" s="1"/>
  <c r="H277" i="1"/>
  <c r="I277" i="1" s="1"/>
  <c r="J277" i="1" s="1"/>
  <c r="H278" i="1"/>
  <c r="I278" i="1" s="1"/>
  <c r="J278" i="1" s="1"/>
  <c r="H279" i="1"/>
  <c r="I279" i="1" s="1"/>
  <c r="H280" i="1"/>
  <c r="I280" i="1" s="1"/>
  <c r="H281" i="1"/>
  <c r="I281" i="1" s="1"/>
  <c r="H282" i="1"/>
  <c r="I282" i="1" s="1"/>
  <c r="J282" i="1" s="1"/>
  <c r="H283" i="1"/>
  <c r="I283" i="1" s="1"/>
  <c r="J283" i="1" s="1"/>
  <c r="H284" i="1"/>
  <c r="I284" i="1" s="1"/>
  <c r="J284" i="1" s="1"/>
  <c r="H285" i="1"/>
  <c r="I285" i="1" s="1"/>
  <c r="J285" i="1" s="1"/>
  <c r="H286" i="1"/>
  <c r="I286" i="1" s="1"/>
  <c r="J286" i="1" s="1"/>
  <c r="H287" i="1"/>
  <c r="I287" i="1" s="1"/>
  <c r="J287" i="1" s="1"/>
  <c r="H288" i="1"/>
  <c r="I288" i="1" s="1"/>
  <c r="J288" i="1" s="1"/>
  <c r="H289" i="1"/>
  <c r="I289" i="1" s="1"/>
  <c r="J289" i="1" s="1"/>
  <c r="H290" i="1"/>
  <c r="I290" i="1" s="1"/>
  <c r="J290" i="1" s="1"/>
  <c r="H291" i="1"/>
  <c r="I291" i="1" s="1"/>
  <c r="J291" i="1" s="1"/>
  <c r="H292" i="1"/>
  <c r="I292" i="1" s="1"/>
  <c r="J292" i="1" s="1"/>
  <c r="H293" i="1"/>
  <c r="I293" i="1" s="1"/>
  <c r="J293" i="1" s="1"/>
  <c r="H294" i="1"/>
  <c r="I294" i="1" s="1"/>
  <c r="J294" i="1" s="1"/>
  <c r="H295" i="1"/>
  <c r="I295" i="1" s="1"/>
  <c r="J295" i="1" s="1"/>
  <c r="H296" i="1"/>
  <c r="I296" i="1" s="1"/>
  <c r="J296" i="1" s="1"/>
  <c r="H297" i="1"/>
  <c r="I297" i="1" s="1"/>
  <c r="J297" i="1" s="1"/>
  <c r="H298" i="1"/>
  <c r="I298" i="1" s="1"/>
  <c r="J298" i="1" s="1"/>
  <c r="H299" i="1"/>
  <c r="I299" i="1" s="1"/>
  <c r="J299" i="1" s="1"/>
  <c r="H300" i="1"/>
  <c r="I300" i="1" s="1"/>
  <c r="J300" i="1" s="1"/>
  <c r="H301" i="1"/>
  <c r="I301" i="1" s="1"/>
  <c r="J301" i="1" s="1"/>
  <c r="H302" i="1"/>
  <c r="I302" i="1" s="1"/>
  <c r="J302" i="1" s="1"/>
  <c r="H303" i="1"/>
  <c r="I303" i="1" s="1"/>
  <c r="H304" i="1"/>
  <c r="I304" i="1" s="1"/>
  <c r="H305" i="1"/>
  <c r="I305" i="1" s="1"/>
  <c r="H306" i="1"/>
  <c r="I306" i="1" s="1"/>
  <c r="J306" i="1" s="1"/>
  <c r="H307" i="1"/>
  <c r="I307" i="1" s="1"/>
  <c r="J307" i="1" s="1"/>
  <c r="H308" i="1"/>
  <c r="I308" i="1" s="1"/>
  <c r="J308" i="1" s="1"/>
  <c r="H309" i="1"/>
  <c r="I309" i="1" s="1"/>
  <c r="J309" i="1" s="1"/>
  <c r="H310" i="1"/>
  <c r="I310" i="1" s="1"/>
  <c r="J310" i="1" s="1"/>
  <c r="H311" i="1"/>
  <c r="I311" i="1" s="1"/>
  <c r="J311" i="1" s="1"/>
  <c r="H312" i="1"/>
  <c r="I312" i="1" s="1"/>
  <c r="H313" i="1"/>
  <c r="I313" i="1" s="1"/>
  <c r="H314" i="1"/>
  <c r="I314" i="1" s="1"/>
  <c r="J314" i="1" s="1"/>
  <c r="H315" i="1"/>
  <c r="I315" i="1" s="1"/>
  <c r="J315" i="1" s="1"/>
  <c r="H316" i="1"/>
  <c r="I316" i="1" s="1"/>
  <c r="H317" i="1"/>
  <c r="I317" i="1" s="1"/>
  <c r="H318" i="1"/>
  <c r="I318" i="1" s="1"/>
  <c r="J318" i="1" s="1"/>
  <c r="H319" i="1"/>
  <c r="I319" i="1" s="1"/>
  <c r="J319" i="1" s="1"/>
  <c r="H320" i="1"/>
  <c r="I320" i="1" s="1"/>
  <c r="H321" i="1"/>
  <c r="I321" i="1" s="1"/>
  <c r="J321" i="1" s="1"/>
  <c r="H322" i="1"/>
  <c r="I322" i="1" s="1"/>
  <c r="J322" i="1" s="1"/>
  <c r="H323" i="1"/>
  <c r="I323" i="1" s="1"/>
  <c r="J323" i="1" s="1"/>
  <c r="H324" i="1"/>
  <c r="I324" i="1" s="1"/>
  <c r="J324" i="1" s="1"/>
  <c r="H325" i="1"/>
  <c r="I325" i="1" s="1"/>
  <c r="J325" i="1" s="1"/>
  <c r="H326" i="1"/>
  <c r="I326" i="1" s="1"/>
  <c r="J326" i="1" s="1"/>
  <c r="H327" i="1"/>
  <c r="I327" i="1" s="1"/>
  <c r="H328" i="1"/>
  <c r="I328" i="1" s="1"/>
  <c r="J328" i="1" s="1"/>
  <c r="H329" i="1"/>
  <c r="I329" i="1" s="1"/>
  <c r="J329" i="1" s="1"/>
  <c r="H330" i="1"/>
  <c r="I330" i="1" s="1"/>
  <c r="J330" i="1" s="1"/>
  <c r="H331" i="1"/>
  <c r="H332" i="1"/>
  <c r="I332" i="1" s="1"/>
  <c r="H333" i="1"/>
  <c r="I333" i="1" s="1"/>
  <c r="J333" i="1" s="1"/>
  <c r="H334" i="1"/>
  <c r="I334" i="1" s="1"/>
  <c r="J334" i="1" s="1"/>
  <c r="H335" i="1"/>
  <c r="H336" i="1"/>
  <c r="I336" i="1" s="1"/>
  <c r="J336" i="1" s="1"/>
  <c r="H337" i="1"/>
  <c r="I337" i="1" s="1"/>
  <c r="J337" i="1" s="1"/>
  <c r="H338" i="1"/>
  <c r="I338" i="1" s="1"/>
  <c r="J338" i="1" s="1"/>
  <c r="H339" i="1"/>
  <c r="I339" i="1" s="1"/>
  <c r="J339" i="1" s="1"/>
  <c r="H340" i="1"/>
  <c r="I340" i="1" s="1"/>
  <c r="J340" i="1" s="1"/>
  <c r="H341" i="1"/>
  <c r="I341" i="1" s="1"/>
  <c r="J341" i="1" s="1"/>
  <c r="H342" i="1"/>
  <c r="I342" i="1" s="1"/>
  <c r="J342" i="1" s="1"/>
  <c r="H343" i="1"/>
  <c r="I343" i="1" s="1"/>
  <c r="H344" i="1"/>
  <c r="I344" i="1" s="1"/>
  <c r="H345" i="1"/>
  <c r="I345" i="1" s="1"/>
  <c r="J345" i="1" s="1"/>
  <c r="H346" i="1"/>
  <c r="I346" i="1" s="1"/>
  <c r="J346" i="1" s="1"/>
  <c r="H347" i="1"/>
  <c r="I347" i="1" s="1"/>
  <c r="J347" i="1" s="1"/>
  <c r="H348" i="1"/>
  <c r="I348" i="1" s="1"/>
  <c r="J348" i="1" s="1"/>
  <c r="H349" i="1"/>
  <c r="I349" i="1" s="1"/>
  <c r="J349" i="1" s="1"/>
  <c r="H350" i="1"/>
  <c r="I350" i="1" s="1"/>
  <c r="J350" i="1" s="1"/>
  <c r="H351" i="1"/>
  <c r="I351" i="1" s="1"/>
  <c r="H352" i="1"/>
  <c r="I352" i="1" s="1"/>
  <c r="H353" i="1"/>
  <c r="I353" i="1" s="1"/>
  <c r="J353" i="1" s="1"/>
  <c r="H354" i="1"/>
  <c r="I354" i="1" s="1"/>
  <c r="J354" i="1" s="1"/>
  <c r="H355" i="1"/>
  <c r="I355" i="1" s="1"/>
  <c r="J355" i="1" s="1"/>
  <c r="H356" i="1"/>
  <c r="I356" i="1" s="1"/>
  <c r="J356" i="1" s="1"/>
  <c r="H357" i="1"/>
  <c r="I357" i="1" s="1"/>
  <c r="J357" i="1" s="1"/>
  <c r="H358" i="1"/>
  <c r="I358" i="1" s="1"/>
  <c r="J358" i="1" s="1"/>
  <c r="H359" i="1"/>
  <c r="H360" i="1"/>
  <c r="I360" i="1" s="1"/>
  <c r="J360" i="1" s="1"/>
  <c r="H361" i="1"/>
  <c r="I361" i="1" s="1"/>
  <c r="J361" i="1" s="1"/>
  <c r="H362" i="1"/>
  <c r="I362" i="1" s="1"/>
  <c r="J362" i="1" s="1"/>
  <c r="H363" i="1"/>
  <c r="H364" i="1"/>
  <c r="I364" i="1" s="1"/>
  <c r="J364" i="1" s="1"/>
  <c r="H365" i="1"/>
  <c r="I365" i="1" s="1"/>
  <c r="J365" i="1" s="1"/>
  <c r="H366" i="1"/>
  <c r="I366" i="1" s="1"/>
  <c r="J366" i="1" s="1"/>
  <c r="H367" i="1"/>
  <c r="I367" i="1" s="1"/>
  <c r="J367" i="1" s="1"/>
  <c r="H368" i="1"/>
  <c r="I368" i="1" s="1"/>
  <c r="J368" i="1" s="1"/>
  <c r="H369" i="1"/>
  <c r="I369" i="1" s="1"/>
  <c r="J369" i="1" s="1"/>
  <c r="H370" i="1"/>
  <c r="I370" i="1" s="1"/>
  <c r="J370" i="1" s="1"/>
  <c r="H371" i="1"/>
  <c r="I371" i="1" s="1"/>
  <c r="J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H636" i="1"/>
  <c r="I636" i="1" s="1"/>
  <c r="H637" i="1"/>
  <c r="I637" i="1" s="1"/>
  <c r="H638" i="1"/>
  <c r="I638" i="1" s="1"/>
  <c r="H639" i="1"/>
  <c r="H640" i="1"/>
  <c r="H641" i="1"/>
  <c r="I641" i="1" s="1"/>
  <c r="H642" i="1"/>
  <c r="I642" i="1" s="1"/>
  <c r="H643" i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H652" i="1"/>
  <c r="I652" i="1" s="1"/>
  <c r="H653" i="1"/>
  <c r="I653" i="1" s="1"/>
  <c r="H654" i="1"/>
  <c r="I654" i="1" s="1"/>
  <c r="H655" i="1"/>
  <c r="H656" i="1"/>
  <c r="I656" i="1" s="1"/>
  <c r="H657" i="1"/>
  <c r="I657" i="1" s="1"/>
  <c r="H658" i="1"/>
  <c r="I658" i="1" s="1"/>
  <c r="H659" i="1"/>
  <c r="H660" i="1"/>
  <c r="I660" i="1" s="1"/>
  <c r="H661" i="1"/>
  <c r="I661" i="1" s="1"/>
  <c r="H662" i="1"/>
  <c r="I662" i="1" s="1"/>
  <c r="H663" i="1"/>
  <c r="H664" i="1"/>
  <c r="I664" i="1" s="1"/>
  <c r="H665" i="1"/>
  <c r="I665" i="1" s="1"/>
  <c r="H666" i="1"/>
  <c r="I666" i="1" s="1"/>
  <c r="H667" i="1"/>
  <c r="H668" i="1"/>
  <c r="I668" i="1" s="1"/>
  <c r="H669" i="1"/>
  <c r="I669" i="1" s="1"/>
  <c r="H670" i="1"/>
  <c r="I670" i="1" s="1"/>
  <c r="H671" i="1"/>
  <c r="H672" i="1"/>
  <c r="H673" i="1"/>
  <c r="I673" i="1" s="1"/>
  <c r="H674" i="1"/>
  <c r="I674" i="1" s="1"/>
  <c r="H675" i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H684" i="1"/>
  <c r="I684" i="1" s="1"/>
  <c r="H685" i="1"/>
  <c r="I685" i="1" s="1"/>
  <c r="H686" i="1"/>
  <c r="I686" i="1" s="1"/>
  <c r="H687" i="1"/>
  <c r="H688" i="1"/>
  <c r="I688" i="1" s="1"/>
  <c r="H689" i="1"/>
  <c r="I689" i="1" s="1"/>
  <c r="H690" i="1"/>
  <c r="I690" i="1" s="1"/>
  <c r="H691" i="1"/>
  <c r="H692" i="1"/>
  <c r="I692" i="1" s="1"/>
  <c r="H693" i="1"/>
  <c r="I693" i="1" s="1"/>
  <c r="H694" i="1"/>
  <c r="I694" i="1" s="1"/>
  <c r="H695" i="1"/>
  <c r="H696" i="1"/>
  <c r="I696" i="1" s="1"/>
  <c r="H697" i="1"/>
  <c r="I697" i="1" s="1"/>
  <c r="H698" i="1"/>
  <c r="I698" i="1" s="1"/>
  <c r="H699" i="1"/>
  <c r="H700" i="1"/>
  <c r="I700" i="1" s="1"/>
  <c r="H701" i="1"/>
  <c r="I701" i="1" s="1"/>
  <c r="H702" i="1"/>
  <c r="I702" i="1" s="1"/>
  <c r="H703" i="1"/>
  <c r="H704" i="1"/>
  <c r="H705" i="1"/>
  <c r="I705" i="1" s="1"/>
  <c r="H706" i="1"/>
  <c r="I706" i="1" s="1"/>
  <c r="H707" i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H716" i="1"/>
  <c r="I716" i="1" s="1"/>
  <c r="H717" i="1"/>
  <c r="I717" i="1" s="1"/>
  <c r="H718" i="1"/>
  <c r="I718" i="1" s="1"/>
  <c r="H719" i="1"/>
  <c r="H720" i="1"/>
  <c r="I720" i="1" s="1"/>
  <c r="H721" i="1"/>
  <c r="I721" i="1" s="1"/>
  <c r="H722" i="1"/>
  <c r="I722" i="1" s="1"/>
  <c r="H723" i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H732" i="1"/>
  <c r="I732" i="1" s="1"/>
  <c r="H733" i="1"/>
  <c r="I733" i="1" s="1"/>
  <c r="H734" i="1"/>
  <c r="I734" i="1" s="1"/>
  <c r="H735" i="1"/>
  <c r="H736" i="1"/>
  <c r="I736" i="1" s="1"/>
  <c r="H737" i="1"/>
  <c r="I737" i="1" s="1"/>
  <c r="H738" i="1"/>
  <c r="I738" i="1" s="1"/>
  <c r="H739" i="1"/>
  <c r="H740" i="1"/>
  <c r="I740" i="1" s="1"/>
  <c r="H741" i="1"/>
  <c r="I741" i="1" s="1"/>
  <c r="H742" i="1"/>
  <c r="I742" i="1" s="1"/>
  <c r="H743" i="1"/>
  <c r="H744" i="1"/>
  <c r="I744" i="1" s="1"/>
  <c r="H745" i="1"/>
  <c r="I745" i="1" s="1"/>
  <c r="H746" i="1"/>
  <c r="I746" i="1" s="1"/>
  <c r="H747" i="1"/>
  <c r="H748" i="1"/>
  <c r="I748" i="1" s="1"/>
  <c r="H749" i="1"/>
  <c r="I749" i="1" s="1"/>
  <c r="H750" i="1"/>
  <c r="I750" i="1" s="1"/>
  <c r="H751" i="1"/>
  <c r="H752" i="1"/>
  <c r="I752" i="1" s="1"/>
  <c r="H753" i="1"/>
  <c r="I753" i="1" s="1"/>
  <c r="H754" i="1"/>
  <c r="I754" i="1" s="1"/>
  <c r="H755" i="1"/>
  <c r="H756" i="1"/>
  <c r="I756" i="1" s="1"/>
  <c r="H757" i="1"/>
  <c r="I757" i="1" s="1"/>
  <c r="H758" i="1"/>
  <c r="I758" i="1" s="1"/>
  <c r="H759" i="1"/>
  <c r="H760" i="1"/>
  <c r="I760" i="1" s="1"/>
  <c r="H761" i="1"/>
  <c r="I761" i="1" s="1"/>
  <c r="H762" i="1"/>
  <c r="I762" i="1" s="1"/>
  <c r="H763" i="1"/>
  <c r="H764" i="1"/>
  <c r="I764" i="1" s="1"/>
  <c r="H765" i="1"/>
  <c r="I765" i="1" s="1"/>
  <c r="H766" i="1"/>
  <c r="I766" i="1" s="1"/>
  <c r="H767" i="1"/>
  <c r="H768" i="1"/>
  <c r="I768" i="1" s="1"/>
  <c r="H769" i="1"/>
  <c r="I769" i="1" s="1"/>
  <c r="H770" i="1"/>
  <c r="I770" i="1" s="1"/>
  <c r="H771" i="1"/>
  <c r="H772" i="1"/>
  <c r="I772" i="1" s="1"/>
  <c r="H773" i="1"/>
  <c r="I773" i="1" s="1"/>
  <c r="H774" i="1"/>
  <c r="I774" i="1" s="1"/>
  <c r="H775" i="1"/>
  <c r="H776" i="1"/>
  <c r="I776" i="1" s="1"/>
  <c r="H777" i="1"/>
  <c r="I777" i="1" s="1"/>
  <c r="H778" i="1"/>
  <c r="I778" i="1" s="1"/>
  <c r="H779" i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H796" i="1"/>
  <c r="I796" i="1" s="1"/>
  <c r="H797" i="1"/>
  <c r="I797" i="1" s="1"/>
  <c r="H798" i="1"/>
  <c r="I798" i="1" s="1"/>
  <c r="H799" i="1"/>
  <c r="I799" i="1" s="1"/>
  <c r="H800" i="1"/>
  <c r="H801" i="1"/>
  <c r="I801" i="1" s="1"/>
  <c r="H802" i="1"/>
  <c r="I802" i="1" s="1"/>
  <c r="H803" i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H812" i="1"/>
  <c r="I812" i="1" s="1"/>
  <c r="H813" i="1"/>
  <c r="I813" i="1" s="1"/>
  <c r="H814" i="1"/>
  <c r="I814" i="1" s="1"/>
  <c r="H815" i="1"/>
  <c r="H816" i="1"/>
  <c r="I816" i="1" s="1"/>
  <c r="H817" i="1"/>
  <c r="I817" i="1" s="1"/>
  <c r="H818" i="1"/>
  <c r="I818" i="1" s="1"/>
  <c r="H819" i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H828" i="1"/>
  <c r="I828" i="1" s="1"/>
  <c r="H829" i="1"/>
  <c r="I829" i="1" s="1"/>
  <c r="H830" i="1"/>
  <c r="I830" i="1" s="1"/>
  <c r="H831" i="1"/>
  <c r="H832" i="1"/>
  <c r="I832" i="1" s="1"/>
  <c r="H833" i="1"/>
  <c r="I833" i="1" s="1"/>
  <c r="H834" i="1"/>
  <c r="I834" i="1" s="1"/>
  <c r="H835" i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H844" i="1"/>
  <c r="I844" i="1" s="1"/>
  <c r="H845" i="1"/>
  <c r="I845" i="1" s="1"/>
  <c r="H846" i="1"/>
  <c r="I846" i="1" s="1"/>
  <c r="H847" i="1"/>
  <c r="H848" i="1"/>
  <c r="I848" i="1" s="1"/>
  <c r="H849" i="1"/>
  <c r="I849" i="1" s="1"/>
  <c r="H850" i="1"/>
  <c r="I850" i="1" s="1"/>
  <c r="H851" i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H860" i="1"/>
  <c r="I860" i="1" s="1"/>
  <c r="H861" i="1"/>
  <c r="I861" i="1" s="1"/>
  <c r="H862" i="1"/>
  <c r="I862" i="1" s="1"/>
  <c r="H863" i="1"/>
  <c r="H864" i="1"/>
  <c r="I864" i="1" s="1"/>
  <c r="H865" i="1"/>
  <c r="I865" i="1" s="1"/>
  <c r="H866" i="1"/>
  <c r="I866" i="1" s="1"/>
  <c r="H867" i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H876" i="1"/>
  <c r="I876" i="1" s="1"/>
  <c r="H877" i="1"/>
  <c r="I877" i="1" s="1"/>
  <c r="H878" i="1"/>
  <c r="I878" i="1" s="1"/>
  <c r="H879" i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H892" i="1"/>
  <c r="I892" i="1" s="1"/>
  <c r="H893" i="1"/>
  <c r="I893" i="1" s="1"/>
  <c r="H894" i="1"/>
  <c r="I894" i="1" s="1"/>
  <c r="H895" i="1"/>
  <c r="H896" i="1"/>
  <c r="I896" i="1" s="1"/>
  <c r="H897" i="1"/>
  <c r="I897" i="1" s="1"/>
  <c r="H898" i="1"/>
  <c r="I898" i="1" s="1"/>
  <c r="H899" i="1"/>
  <c r="H900" i="1"/>
  <c r="I900" i="1" s="1"/>
  <c r="H901" i="1"/>
  <c r="I901" i="1" s="1"/>
  <c r="H902" i="1"/>
  <c r="I902" i="1" s="1"/>
  <c r="H903" i="1"/>
  <c r="H904" i="1"/>
  <c r="I904" i="1" s="1"/>
  <c r="H905" i="1"/>
  <c r="I905" i="1" s="1"/>
  <c r="H906" i="1"/>
  <c r="I906" i="1" s="1"/>
  <c r="H907" i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H924" i="1"/>
  <c r="I924" i="1" s="1"/>
  <c r="H925" i="1"/>
  <c r="I925" i="1" s="1"/>
  <c r="H926" i="1"/>
  <c r="I926" i="1" s="1"/>
  <c r="H927" i="1"/>
  <c r="I927" i="1" s="1"/>
  <c r="H928" i="1"/>
  <c r="H929" i="1"/>
  <c r="I929" i="1" s="1"/>
  <c r="H930" i="1"/>
  <c r="I930" i="1" s="1"/>
  <c r="H931" i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H948" i="1"/>
  <c r="I948" i="1" s="1"/>
  <c r="H949" i="1"/>
  <c r="I949" i="1" s="1"/>
  <c r="H950" i="1"/>
  <c r="I950" i="1" s="1"/>
  <c r="H951" i="1"/>
  <c r="H952" i="1"/>
  <c r="I952" i="1" s="1"/>
  <c r="H953" i="1"/>
  <c r="I953" i="1" s="1"/>
  <c r="H954" i="1"/>
  <c r="I954" i="1" s="1"/>
  <c r="H955" i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H964" i="1"/>
  <c r="I964" i="1" s="1"/>
  <c r="H965" i="1"/>
  <c r="I965" i="1" s="1"/>
  <c r="H966" i="1"/>
  <c r="I966" i="1" s="1"/>
  <c r="H967" i="1"/>
  <c r="H968" i="1"/>
  <c r="I968" i="1" s="1"/>
  <c r="H969" i="1"/>
  <c r="I969" i="1" s="1"/>
  <c r="H970" i="1"/>
  <c r="I970" i="1" s="1"/>
  <c r="H971" i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H980" i="1"/>
  <c r="I980" i="1" s="1"/>
  <c r="H981" i="1"/>
  <c r="I981" i="1" s="1"/>
  <c r="H982" i="1"/>
  <c r="I982" i="1" s="1"/>
  <c r="H983" i="1"/>
  <c r="H984" i="1"/>
  <c r="I984" i="1" s="1"/>
  <c r="H985" i="1"/>
  <c r="I985" i="1" s="1"/>
  <c r="H986" i="1"/>
  <c r="I986" i="1" s="1"/>
  <c r="H987" i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H996" i="1"/>
  <c r="I996" i="1" s="1"/>
  <c r="H997" i="1"/>
  <c r="I997" i="1" s="1"/>
  <c r="H998" i="1"/>
  <c r="I998" i="1" s="1"/>
  <c r="H999" i="1"/>
  <c r="H1000" i="1"/>
  <c r="I1000" i="1" s="1"/>
  <c r="H1001" i="1"/>
  <c r="I1001" i="1" s="1"/>
  <c r="H1002" i="1"/>
  <c r="I1002" i="1" s="1"/>
  <c r="H1003" i="1"/>
  <c r="H1004" i="1"/>
  <c r="I1004" i="1" s="1"/>
  <c r="H1005" i="1"/>
  <c r="I1005" i="1" s="1"/>
  <c r="H1006" i="1"/>
  <c r="I1006" i="1" s="1"/>
  <c r="H1007" i="1"/>
  <c r="H1008" i="1"/>
  <c r="I1008" i="1" s="1"/>
  <c r="H1009" i="1"/>
  <c r="I1009" i="1" s="1"/>
  <c r="H1010" i="1"/>
  <c r="I1010" i="1" s="1"/>
  <c r="H1011" i="1"/>
  <c r="H1012" i="1"/>
  <c r="I1012" i="1" s="1"/>
  <c r="H1013" i="1"/>
  <c r="I1013" i="1" s="1"/>
  <c r="H1014" i="1"/>
  <c r="I1014" i="1" s="1"/>
  <c r="H1015" i="1"/>
  <c r="H1016" i="1"/>
  <c r="I1016" i="1" s="1"/>
  <c r="H1017" i="1"/>
  <c r="I1017" i="1" s="1"/>
  <c r="H1018" i="1"/>
  <c r="I1018" i="1" s="1"/>
  <c r="H1019" i="1"/>
  <c r="H1020" i="1"/>
  <c r="I1020" i="1" s="1"/>
  <c r="H1021" i="1"/>
  <c r="I1021" i="1" s="1"/>
  <c r="H1022" i="1"/>
  <c r="I1022" i="1" s="1"/>
  <c r="H1023" i="1"/>
  <c r="H1024" i="1"/>
  <c r="I1024" i="1" s="1"/>
  <c r="H1025" i="1"/>
  <c r="I1025" i="1" s="1"/>
  <c r="H1026" i="1"/>
  <c r="I1026" i="1" s="1"/>
  <c r="H1027" i="1"/>
  <c r="H1028" i="1"/>
  <c r="I1028" i="1" s="1"/>
  <c r="H1029" i="1"/>
  <c r="I1029" i="1" s="1"/>
  <c r="H1030" i="1"/>
  <c r="I1030" i="1" s="1"/>
  <c r="H1031" i="1"/>
  <c r="H1032" i="1"/>
  <c r="I1032" i="1" s="1"/>
  <c r="H1033" i="1"/>
  <c r="I1033" i="1" s="1"/>
  <c r="H1034" i="1"/>
  <c r="I1034" i="1" s="1"/>
  <c r="H1035" i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H1052" i="1"/>
  <c r="I1052" i="1" s="1"/>
  <c r="H1053" i="1"/>
  <c r="I1053" i="1" s="1"/>
  <c r="H1054" i="1"/>
  <c r="I1054" i="1" s="1"/>
  <c r="H1055" i="1"/>
  <c r="H1056" i="1"/>
  <c r="I1056" i="1" s="1"/>
  <c r="H1057" i="1"/>
  <c r="I1057" i="1" s="1"/>
  <c r="H1058" i="1"/>
  <c r="I1058" i="1" s="1"/>
  <c r="H1059" i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H1068" i="1"/>
  <c r="I1068" i="1" s="1"/>
  <c r="H1069" i="1"/>
  <c r="I1069" i="1" s="1"/>
  <c r="H1070" i="1"/>
  <c r="I1070" i="1" s="1"/>
  <c r="H1071" i="1"/>
  <c r="H1072" i="1"/>
  <c r="I1072" i="1" s="1"/>
  <c r="H1073" i="1"/>
  <c r="I1073" i="1" s="1"/>
  <c r="H1074" i="1"/>
  <c r="I1074" i="1" s="1"/>
  <c r="H1075" i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H1092" i="1"/>
  <c r="I1092" i="1" s="1"/>
  <c r="H1093" i="1"/>
  <c r="I1093" i="1" s="1"/>
  <c r="H1094" i="1"/>
  <c r="I1094" i="1" s="1"/>
  <c r="H1095" i="1"/>
  <c r="H1096" i="1"/>
  <c r="I1096" i="1" s="1"/>
  <c r="H1097" i="1"/>
  <c r="I1097" i="1" s="1"/>
  <c r="H1098" i="1"/>
  <c r="I1098" i="1" s="1"/>
  <c r="H1099" i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H1108" i="1"/>
  <c r="I1108" i="1" s="1"/>
  <c r="H1109" i="1"/>
  <c r="I1109" i="1" s="1"/>
  <c r="H1110" i="1"/>
  <c r="I1110" i="1" s="1"/>
  <c r="H1111" i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I19" i="1"/>
  <c r="J19" i="1" s="1"/>
  <c r="I55" i="1"/>
  <c r="J55" i="1" s="1"/>
  <c r="I331" i="1"/>
  <c r="J331" i="1" s="1"/>
  <c r="I335" i="1"/>
  <c r="J335" i="1" s="1"/>
  <c r="I359" i="1"/>
  <c r="J359" i="1" s="1"/>
  <c r="I363" i="1"/>
  <c r="J363" i="1" s="1"/>
  <c r="I619" i="1"/>
  <c r="I627" i="1"/>
  <c r="I635" i="1"/>
  <c r="I639" i="1"/>
  <c r="I640" i="1"/>
  <c r="I643" i="1"/>
  <c r="I651" i="1"/>
  <c r="I655" i="1"/>
  <c r="I659" i="1"/>
  <c r="I663" i="1"/>
  <c r="I667" i="1"/>
  <c r="I671" i="1"/>
  <c r="I672" i="1"/>
  <c r="I675" i="1"/>
  <c r="I683" i="1"/>
  <c r="I687" i="1"/>
  <c r="I691" i="1"/>
  <c r="I695" i="1"/>
  <c r="I699" i="1"/>
  <c r="I703" i="1"/>
  <c r="I704" i="1"/>
  <c r="I707" i="1"/>
  <c r="I715" i="1"/>
  <c r="I719" i="1"/>
  <c r="I723" i="1"/>
  <c r="I731" i="1"/>
  <c r="I735" i="1"/>
  <c r="I739" i="1"/>
  <c r="I743" i="1"/>
  <c r="I747" i="1"/>
  <c r="I751" i="1"/>
  <c r="I755" i="1"/>
  <c r="I759" i="1"/>
  <c r="I763" i="1"/>
  <c r="I767" i="1"/>
  <c r="I771" i="1"/>
  <c r="I775" i="1"/>
  <c r="I779" i="1"/>
  <c r="I787" i="1"/>
  <c r="I795" i="1"/>
  <c r="I800" i="1"/>
  <c r="I803" i="1"/>
  <c r="I811" i="1"/>
  <c r="I815" i="1"/>
  <c r="I819" i="1"/>
  <c r="I827" i="1"/>
  <c r="I831" i="1"/>
  <c r="I835" i="1"/>
  <c r="I843" i="1"/>
  <c r="I847" i="1"/>
  <c r="I851" i="1"/>
  <c r="I859" i="1"/>
  <c r="I863" i="1"/>
  <c r="I867" i="1"/>
  <c r="I875" i="1"/>
  <c r="I879" i="1"/>
  <c r="I891" i="1"/>
  <c r="I895" i="1"/>
  <c r="I899" i="1"/>
  <c r="I903" i="1"/>
  <c r="I907" i="1"/>
  <c r="I915" i="1"/>
  <c r="I923" i="1"/>
  <c r="I928" i="1"/>
  <c r="I931" i="1"/>
  <c r="I939" i="1"/>
  <c r="I947" i="1"/>
  <c r="I951" i="1"/>
  <c r="I955" i="1"/>
  <c r="I963" i="1"/>
  <c r="I967" i="1"/>
  <c r="I971" i="1"/>
  <c r="I979" i="1"/>
  <c r="I983" i="1"/>
  <c r="I987" i="1"/>
  <c r="I995" i="1"/>
  <c r="I999" i="1"/>
  <c r="I1003" i="1"/>
  <c r="I1007" i="1"/>
  <c r="I1011" i="1"/>
  <c r="I1015" i="1"/>
  <c r="I1019" i="1"/>
  <c r="I1023" i="1"/>
  <c r="I1027" i="1"/>
  <c r="I1031" i="1"/>
  <c r="I1035" i="1"/>
  <c r="I1043" i="1"/>
  <c r="I1051" i="1"/>
  <c r="I1055" i="1"/>
  <c r="I1059" i="1"/>
  <c r="I1067" i="1"/>
  <c r="I1071" i="1"/>
  <c r="I1075" i="1"/>
  <c r="I1083" i="1"/>
  <c r="I1091" i="1"/>
  <c r="I1095" i="1"/>
  <c r="I1099" i="1"/>
  <c r="I1107" i="1"/>
  <c r="I1111" i="1"/>
  <c r="J31" i="1"/>
  <c r="J36" i="1"/>
  <c r="J56" i="1"/>
  <c r="J60" i="1"/>
  <c r="J63" i="1"/>
  <c r="J76" i="1"/>
  <c r="J80" i="1"/>
  <c r="J89" i="1"/>
  <c r="J103" i="1"/>
  <c r="J108" i="1"/>
  <c r="J111" i="1"/>
  <c r="J120" i="1"/>
  <c r="J127" i="1"/>
  <c r="J128" i="1"/>
  <c r="J140" i="1"/>
  <c r="J144" i="1"/>
  <c r="J151" i="1"/>
  <c r="J153" i="1"/>
  <c r="J156" i="1"/>
  <c r="J159" i="1"/>
  <c r="J164" i="1"/>
  <c r="J165" i="1"/>
  <c r="J167" i="1"/>
  <c r="J177" i="1"/>
  <c r="J180" i="1"/>
  <c r="J183" i="1"/>
  <c r="J189" i="1"/>
  <c r="J191" i="1"/>
  <c r="J204" i="1"/>
  <c r="J207" i="1"/>
  <c r="J216" i="1"/>
  <c r="J220" i="1"/>
  <c r="J221" i="1"/>
  <c r="J223" i="1"/>
  <c r="J228" i="1"/>
  <c r="J229" i="1"/>
  <c r="J231" i="1"/>
  <c r="J244" i="1"/>
  <c r="J247" i="1"/>
  <c r="J255" i="1"/>
  <c r="J256" i="1"/>
  <c r="J268" i="1"/>
  <c r="J272" i="1"/>
  <c r="J279" i="1"/>
  <c r="J280" i="1"/>
  <c r="J281" i="1"/>
  <c r="J303" i="1"/>
  <c r="J304" i="1"/>
  <c r="J305" i="1"/>
  <c r="J312" i="1"/>
  <c r="J313" i="1"/>
  <c r="J316" i="1"/>
  <c r="J317" i="1"/>
  <c r="J320" i="1"/>
  <c r="J327" i="1"/>
  <c r="J332" i="1"/>
  <c r="J343" i="1"/>
  <c r="J344" i="1"/>
  <c r="J351" i="1"/>
  <c r="J352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N13" i="1" l="1"/>
  <c r="N14" i="1"/>
  <c r="N12" i="1"/>
  <c r="N11" i="1"/>
  <c r="N10" i="1"/>
  <c r="N9" i="1"/>
  <c r="N7" i="1"/>
  <c r="N8" i="1"/>
  <c r="N15" i="1"/>
  <c r="N16" i="1" l="1"/>
  <c r="O7" i="1" s="1"/>
  <c r="O15" i="1" l="1"/>
  <c r="O12" i="1"/>
  <c r="O11" i="1"/>
  <c r="O8" i="1"/>
  <c r="O10" i="1"/>
  <c r="O9" i="1"/>
  <c r="O14" i="1"/>
  <c r="O13" i="1"/>
</calcChain>
</file>

<file path=xl/sharedStrings.xml><?xml version="1.0" encoding="utf-8"?>
<sst xmlns="http://schemas.openxmlformats.org/spreadsheetml/2006/main" count="1612" uniqueCount="819">
  <si>
    <t>COURSE CODE</t>
  </si>
  <si>
    <t xml:space="preserve">INDEX NUMBER </t>
  </si>
  <si>
    <t xml:space="preserve">NAME </t>
  </si>
  <si>
    <t>COUSE TITLE</t>
  </si>
  <si>
    <t>CA (60)</t>
  </si>
  <si>
    <t>EXAM (60)</t>
  </si>
  <si>
    <t>40% OF EXAM</t>
  </si>
  <si>
    <t>GRADE</t>
  </si>
  <si>
    <t xml:space="preserve">TOTAL </t>
  </si>
  <si>
    <t>SN</t>
  </si>
  <si>
    <t>E</t>
  </si>
  <si>
    <t>D</t>
  </si>
  <si>
    <t>D+</t>
  </si>
  <si>
    <t>C</t>
  </si>
  <si>
    <t>C+</t>
  </si>
  <si>
    <t>B</t>
  </si>
  <si>
    <t>B+</t>
  </si>
  <si>
    <t>A</t>
  </si>
  <si>
    <t>Marks</t>
  </si>
  <si>
    <t>Grade</t>
  </si>
  <si>
    <t>NAME OF COLLEGE:</t>
  </si>
  <si>
    <t>ACADEMIC YEAR:</t>
  </si>
  <si>
    <t>SEMESTER:</t>
  </si>
  <si>
    <t>Date:</t>
  </si>
  <si>
    <t>RESULT SAMARY</t>
  </si>
  <si>
    <t>IC</t>
  </si>
  <si>
    <t>TOTAL</t>
  </si>
  <si>
    <t>COUNT</t>
  </si>
  <si>
    <t>Percentage</t>
  </si>
  <si>
    <t>PRESBYTERIAN COLLEGE OF EDUCATION, AKROPONG</t>
  </si>
  <si>
    <t>2025/2026</t>
  </si>
  <si>
    <t>ASANTE ISAAC</t>
  </si>
  <si>
    <t>525AKJH001</t>
  </si>
  <si>
    <t>525AKJH003</t>
  </si>
  <si>
    <t>525AKJH004</t>
  </si>
  <si>
    <t>525AKJH005</t>
  </si>
  <si>
    <t>525AKJH006</t>
  </si>
  <si>
    <t>525AKJH007</t>
  </si>
  <si>
    <t>525AKJH008</t>
  </si>
  <si>
    <t>525AKJH009</t>
  </si>
  <si>
    <t>525AKJH010</t>
  </si>
  <si>
    <t>525AKJH011</t>
  </si>
  <si>
    <t>525AKJH012</t>
  </si>
  <si>
    <t>525AKJH013</t>
  </si>
  <si>
    <t>525AKJH014</t>
  </si>
  <si>
    <t>525AKJH015</t>
  </si>
  <si>
    <t>525AKJH016</t>
  </si>
  <si>
    <t>525AKJH017</t>
  </si>
  <si>
    <t>525AKJH018</t>
  </si>
  <si>
    <t>525AKJH019</t>
  </si>
  <si>
    <t>525AKJH020</t>
  </si>
  <si>
    <t>525AKJH021</t>
  </si>
  <si>
    <t>525AKJH022</t>
  </si>
  <si>
    <t>525AKJH023</t>
  </si>
  <si>
    <t>525AKJH024</t>
  </si>
  <si>
    <t>525AKJH025</t>
  </si>
  <si>
    <t>525AKJH026</t>
  </si>
  <si>
    <t>525AKJH027</t>
  </si>
  <si>
    <t>525AKJH028</t>
  </si>
  <si>
    <t>525AKJH029</t>
  </si>
  <si>
    <t>525AKJH030</t>
  </si>
  <si>
    <t>525AKJH031</t>
  </si>
  <si>
    <t>525AKJH032</t>
  </si>
  <si>
    <t>525AKJH033</t>
  </si>
  <si>
    <t>525AKJH034</t>
  </si>
  <si>
    <t>525AKJH035</t>
  </si>
  <si>
    <t>525AKJH036</t>
  </si>
  <si>
    <t>525AKJH037</t>
  </si>
  <si>
    <t>525AKJH038</t>
  </si>
  <si>
    <t>525AKJH039</t>
  </si>
  <si>
    <t>525AKJH040</t>
  </si>
  <si>
    <t>525AKJH041</t>
  </si>
  <si>
    <t>525AKJH042</t>
  </si>
  <si>
    <t>525AKJH043</t>
  </si>
  <si>
    <t>525AKJH044</t>
  </si>
  <si>
    <t>525AKJH045</t>
  </si>
  <si>
    <t>525AKJH046</t>
  </si>
  <si>
    <t>525AKJH047</t>
  </si>
  <si>
    <t>525AKJH048</t>
  </si>
  <si>
    <t>525AKJH049</t>
  </si>
  <si>
    <t>525AKJH050</t>
  </si>
  <si>
    <t>525AKJH051</t>
  </si>
  <si>
    <t>525AKJH052</t>
  </si>
  <si>
    <t>525AKJH053</t>
  </si>
  <si>
    <t>525AKJH054</t>
  </si>
  <si>
    <t>525AKJH055</t>
  </si>
  <si>
    <t>525AKJH056</t>
  </si>
  <si>
    <t>525AKJH057</t>
  </si>
  <si>
    <t>525AKJH058</t>
  </si>
  <si>
    <t>525AKJH059</t>
  </si>
  <si>
    <t>525AKJH060</t>
  </si>
  <si>
    <t>525AKJH061</t>
  </si>
  <si>
    <t>525AKJH062</t>
  </si>
  <si>
    <t>525AKJH063</t>
  </si>
  <si>
    <t>525AKJH064</t>
  </si>
  <si>
    <t>525AKJH065</t>
  </si>
  <si>
    <t>525AKJH066</t>
  </si>
  <si>
    <t>525AKJH067</t>
  </si>
  <si>
    <t>525AKJH068</t>
  </si>
  <si>
    <t>525AKJH069</t>
  </si>
  <si>
    <t>525AKJH070</t>
  </si>
  <si>
    <t>525AKJH071</t>
  </si>
  <si>
    <t>525AKJH072</t>
  </si>
  <si>
    <t>525AKJH073</t>
  </si>
  <si>
    <t>525AKJH074</t>
  </si>
  <si>
    <t>525AKJH075</t>
  </si>
  <si>
    <t>525AKJH076</t>
  </si>
  <si>
    <t>525AKJH077</t>
  </si>
  <si>
    <t>525AKJH078</t>
  </si>
  <si>
    <t>525AKJH079</t>
  </si>
  <si>
    <t>525AKJH080</t>
  </si>
  <si>
    <t>525AKJH082</t>
  </si>
  <si>
    <t>525AKJH083</t>
  </si>
  <si>
    <t>525AKJH084</t>
  </si>
  <si>
    <t>525AKJH085</t>
  </si>
  <si>
    <t>525AKJH086</t>
  </si>
  <si>
    <t>525AKJH087</t>
  </si>
  <si>
    <t>525AKJH088</t>
  </si>
  <si>
    <t>525AKJH089</t>
  </si>
  <si>
    <t>525AKJH090</t>
  </si>
  <si>
    <t>525AKJH091</t>
  </si>
  <si>
    <t>525AKJH092</t>
  </si>
  <si>
    <t>525AKJH093</t>
  </si>
  <si>
    <t>525AKJH094</t>
  </si>
  <si>
    <t>525AKJH095</t>
  </si>
  <si>
    <t>525AKJH096</t>
  </si>
  <si>
    <t>525AKJH097</t>
  </si>
  <si>
    <t>525AKJH098</t>
  </si>
  <si>
    <t>525AKJH099</t>
  </si>
  <si>
    <t>525AKJH100</t>
  </si>
  <si>
    <t>525AKJH101</t>
  </si>
  <si>
    <t>525AKJH102</t>
  </si>
  <si>
    <t>525AKJH103</t>
  </si>
  <si>
    <t>525AKJH104</t>
  </si>
  <si>
    <t>525AKJH105</t>
  </si>
  <si>
    <t>525AKJH106</t>
  </si>
  <si>
    <t>525AKJH107</t>
  </si>
  <si>
    <t>525AKJH108</t>
  </si>
  <si>
    <t>525AKJH109</t>
  </si>
  <si>
    <t>525AKJH110</t>
  </si>
  <si>
    <t>525AKJH111</t>
  </si>
  <si>
    <t>525AKJH112</t>
  </si>
  <si>
    <t>525AKJH113</t>
  </si>
  <si>
    <t>525AKJH114</t>
  </si>
  <si>
    <t>525AKJH115</t>
  </si>
  <si>
    <t>525AKJH116</t>
  </si>
  <si>
    <t>525AKJH117</t>
  </si>
  <si>
    <t>525AKJH118</t>
  </si>
  <si>
    <t>525AKJH120</t>
  </si>
  <si>
    <t>525AKJH121</t>
  </si>
  <si>
    <t>525AKJH122</t>
  </si>
  <si>
    <t>525AKJH123</t>
  </si>
  <si>
    <t>525AKJH124</t>
  </si>
  <si>
    <t>525AKJH125</t>
  </si>
  <si>
    <t>525AKJH126</t>
  </si>
  <si>
    <t>525AKJH127</t>
  </si>
  <si>
    <t>525AKJH128</t>
  </si>
  <si>
    <t>525AKJH129</t>
  </si>
  <si>
    <t>525AKJH130</t>
  </si>
  <si>
    <t>525AKJH131</t>
  </si>
  <si>
    <t>525AKJH132</t>
  </si>
  <si>
    <t>525AKJH133</t>
  </si>
  <si>
    <t>525AKJH134</t>
  </si>
  <si>
    <t>525AKJH135</t>
  </si>
  <si>
    <t>525AKJH136</t>
  </si>
  <si>
    <t>525AKJH137</t>
  </si>
  <si>
    <t>525AKJH138</t>
  </si>
  <si>
    <t>525AKJH139</t>
  </si>
  <si>
    <t>525AKJH140</t>
  </si>
  <si>
    <t>525AKJH141</t>
  </si>
  <si>
    <t>525AKJH142</t>
  </si>
  <si>
    <t>525AKJH143</t>
  </si>
  <si>
    <t>525AKJH144</t>
  </si>
  <si>
    <t>525AKJH145</t>
  </si>
  <si>
    <t>525AKJH146</t>
  </si>
  <si>
    <t>525AKJH147</t>
  </si>
  <si>
    <t>525AKJH148</t>
  </si>
  <si>
    <t>525AKJH149</t>
  </si>
  <si>
    <t>525AKJH150</t>
  </si>
  <si>
    <t>525AKJH151</t>
  </si>
  <si>
    <t>525AKJH152</t>
  </si>
  <si>
    <t>525AKJH153</t>
  </si>
  <si>
    <t>525AKJH154</t>
  </si>
  <si>
    <t>525AKJH155</t>
  </si>
  <si>
    <t>525AKJH156</t>
  </si>
  <si>
    <t>525AKJH157</t>
  </si>
  <si>
    <t>525AKJH158</t>
  </si>
  <si>
    <t>525AKJH159</t>
  </si>
  <si>
    <t>525AKJH160</t>
  </si>
  <si>
    <t>525AKJH161</t>
  </si>
  <si>
    <t>525AKJH162</t>
  </si>
  <si>
    <t>525AKJH163</t>
  </si>
  <si>
    <t>525AKJH164</t>
  </si>
  <si>
    <t>525AKJH165</t>
  </si>
  <si>
    <t>525AKJH166</t>
  </si>
  <si>
    <t>525AKJH167</t>
  </si>
  <si>
    <t>525AKJH168</t>
  </si>
  <si>
    <t>525AKJH169</t>
  </si>
  <si>
    <t>525AKJH170</t>
  </si>
  <si>
    <t>525AKJH171</t>
  </si>
  <si>
    <t>525AKJH172</t>
  </si>
  <si>
    <t>525AKJH173</t>
  </si>
  <si>
    <t>525AKJH174</t>
  </si>
  <si>
    <t>525AKJH175</t>
  </si>
  <si>
    <t>525AKJH176</t>
  </si>
  <si>
    <t>525AKJH177</t>
  </si>
  <si>
    <t>525AKJH179</t>
  </si>
  <si>
    <t>525AKJH180</t>
  </si>
  <si>
    <t>525AKJH181</t>
  </si>
  <si>
    <t>525AKJH182</t>
  </si>
  <si>
    <t>525AKJH183</t>
  </si>
  <si>
    <t>525AKJH184</t>
  </si>
  <si>
    <t>525AKJH186</t>
  </si>
  <si>
    <t>525AKJH187</t>
  </si>
  <si>
    <t>525AKJH188</t>
  </si>
  <si>
    <t>525AKJH189</t>
  </si>
  <si>
    <t>525AKJH190</t>
  </si>
  <si>
    <t>525AKJH191</t>
  </si>
  <si>
    <t>525AKJH192</t>
  </si>
  <si>
    <t>525AKJH193</t>
  </si>
  <si>
    <t>525AKJH194</t>
  </si>
  <si>
    <t>525AKJH195</t>
  </si>
  <si>
    <t>525AKJH196</t>
  </si>
  <si>
    <t>525AKJH197</t>
  </si>
  <si>
    <t>525AKJH198</t>
  </si>
  <si>
    <t>525AKJH199</t>
  </si>
  <si>
    <t>525AKJH200</t>
  </si>
  <si>
    <t>525AKJH201</t>
  </si>
  <si>
    <t>525AKJH202</t>
  </si>
  <si>
    <t>525AKJH203</t>
  </si>
  <si>
    <t>525AKJH204</t>
  </si>
  <si>
    <t>525AKJH205</t>
  </si>
  <si>
    <t>525AKJH206</t>
  </si>
  <si>
    <t>525AKJH207</t>
  </si>
  <si>
    <t>525AKJH208</t>
  </si>
  <si>
    <t>525AKJH209</t>
  </si>
  <si>
    <t>525AKJH210</t>
  </si>
  <si>
    <t>525AKJH211</t>
  </si>
  <si>
    <t>525AKJH212</t>
  </si>
  <si>
    <t>525AKJH213</t>
  </si>
  <si>
    <t>525AKJH214</t>
  </si>
  <si>
    <t>525AKJH215</t>
  </si>
  <si>
    <t>525AKJH216</t>
  </si>
  <si>
    <t>525AKJH217</t>
  </si>
  <si>
    <t>525AKJH218</t>
  </si>
  <si>
    <t>525AKJH219</t>
  </si>
  <si>
    <t>525AKJH220</t>
  </si>
  <si>
    <t>525AKJH221</t>
  </si>
  <si>
    <t>525AKJH222</t>
  </si>
  <si>
    <t>525AKJH223</t>
  </si>
  <si>
    <t>525AKJH224</t>
  </si>
  <si>
    <t>525AKJH225</t>
  </si>
  <si>
    <t>525AKJH226</t>
  </si>
  <si>
    <t>525AKJH227</t>
  </si>
  <si>
    <t>525AKJH228</t>
  </si>
  <si>
    <t>525AKJH229</t>
  </si>
  <si>
    <t>525AKJH230</t>
  </si>
  <si>
    <t>525AKJH232</t>
  </si>
  <si>
    <t>525AKJH233</t>
  </si>
  <si>
    <t>525AKJH234</t>
  </si>
  <si>
    <t>525AKJH235</t>
  </si>
  <si>
    <t>525AKJH236</t>
  </si>
  <si>
    <t>525AKJH237</t>
  </si>
  <si>
    <t>525AKJH238</t>
  </si>
  <si>
    <t>525AKJH239</t>
  </si>
  <si>
    <t>525AKJH240</t>
  </si>
  <si>
    <t>525AKJH241</t>
  </si>
  <si>
    <t>525AKJH242</t>
  </si>
  <si>
    <t>525AKJH243</t>
  </si>
  <si>
    <t>525AKJH244</t>
  </si>
  <si>
    <t>525AKJH245</t>
  </si>
  <si>
    <t>525AKJH246</t>
  </si>
  <si>
    <t>525AKJH247</t>
  </si>
  <si>
    <t>525AKJH248</t>
  </si>
  <si>
    <t>525AKJH249</t>
  </si>
  <si>
    <t>525AKJH250</t>
  </si>
  <si>
    <t>525AKJH251</t>
  </si>
  <si>
    <t>525AKJH252</t>
  </si>
  <si>
    <t>525AKJH253</t>
  </si>
  <si>
    <t>525AKJH254</t>
  </si>
  <si>
    <t>525AKJH255</t>
  </si>
  <si>
    <t>525AKJH256</t>
  </si>
  <si>
    <t>525AKJH257</t>
  </si>
  <si>
    <t>525AKJH258</t>
  </si>
  <si>
    <t>525AKJH259</t>
  </si>
  <si>
    <t>525AKJH260</t>
  </si>
  <si>
    <t>525AKJH261</t>
  </si>
  <si>
    <t>525AKJH262</t>
  </si>
  <si>
    <t>525AKJH263</t>
  </si>
  <si>
    <t>525AKJH266</t>
  </si>
  <si>
    <t>525AKJH267</t>
  </si>
  <si>
    <t>525AKJH268</t>
  </si>
  <si>
    <t>525AKJH269</t>
  </si>
  <si>
    <t>525AKJH270</t>
  </si>
  <si>
    <t>525AKJH271</t>
  </si>
  <si>
    <t>525AKJH272</t>
  </si>
  <si>
    <t>525AKJH273</t>
  </si>
  <si>
    <t>525AKJH274</t>
  </si>
  <si>
    <t>525AKJH275</t>
  </si>
  <si>
    <t>525AKJH276</t>
  </si>
  <si>
    <t>525AKJH277</t>
  </si>
  <si>
    <t>525AKJH278</t>
  </si>
  <si>
    <t>525AKJH279</t>
  </si>
  <si>
    <t>525AKJH280</t>
  </si>
  <si>
    <t>525AKJH281</t>
  </si>
  <si>
    <t>525AKJH282</t>
  </si>
  <si>
    <t>525AKJH283</t>
  </si>
  <si>
    <t>525AKJH284</t>
  </si>
  <si>
    <t>525AKJH285</t>
  </si>
  <si>
    <t>525AKJH286</t>
  </si>
  <si>
    <t>525AKJH287</t>
  </si>
  <si>
    <t>525AKJH288</t>
  </si>
  <si>
    <t>525AKJH289</t>
  </si>
  <si>
    <t>525AKJH290</t>
  </si>
  <si>
    <t>525AKJH291</t>
  </si>
  <si>
    <t>525AKJH292</t>
  </si>
  <si>
    <t>525AKJH293</t>
  </si>
  <si>
    <t>525AKJH295</t>
  </si>
  <si>
    <t>525AKJH296</t>
  </si>
  <si>
    <t>525AKJH297</t>
  </si>
  <si>
    <t>525AKJH298</t>
  </si>
  <si>
    <t>525AKJH299</t>
  </si>
  <si>
    <t>525AKJH300</t>
  </si>
  <si>
    <t>525AKJH301</t>
  </si>
  <si>
    <t>525AKJH302</t>
  </si>
  <si>
    <t>525AKJH303</t>
  </si>
  <si>
    <t>525AKJH304</t>
  </si>
  <si>
    <t>525AKJH305</t>
  </si>
  <si>
    <t>525AKJH306</t>
  </si>
  <si>
    <t>525AKJH307</t>
  </si>
  <si>
    <t>525AKJH308</t>
  </si>
  <si>
    <t>525AKJH310</t>
  </si>
  <si>
    <t>525AKJH311</t>
  </si>
  <si>
    <t>525AKJH312</t>
  </si>
  <si>
    <t>525AKJH313</t>
  </si>
  <si>
    <t>525AKJH314</t>
  </si>
  <si>
    <t>525AKJH315</t>
  </si>
  <si>
    <t>525AKJH316</t>
  </si>
  <si>
    <t>525AKJH317</t>
  </si>
  <si>
    <t>525AKJH318</t>
  </si>
  <si>
    <t>525AKJH319</t>
  </si>
  <si>
    <t>525AKJH320</t>
  </si>
  <si>
    <t>525AKJH321</t>
  </si>
  <si>
    <t>525AKJH322</t>
  </si>
  <si>
    <t>525AKJH323</t>
  </si>
  <si>
    <t>525AKJH324</t>
  </si>
  <si>
    <t>525AKJH325</t>
  </si>
  <si>
    <t>525AKJH326</t>
  </si>
  <si>
    <t>525AKJH327</t>
  </si>
  <si>
    <t>525AKJH328</t>
  </si>
  <si>
    <t>525AKJH329</t>
  </si>
  <si>
    <t>525AKJH330</t>
  </si>
  <si>
    <t>525AKJH331</t>
  </si>
  <si>
    <t>525AKJH332</t>
  </si>
  <si>
    <t>525AKJH333</t>
  </si>
  <si>
    <t>525AKJH334</t>
  </si>
  <si>
    <t>525AKJH335</t>
  </si>
  <si>
    <t>525AKJH336</t>
  </si>
  <si>
    <t>525AKJH337</t>
  </si>
  <si>
    <t>525AKJH338</t>
  </si>
  <si>
    <t>525AKJH339</t>
  </si>
  <si>
    <t>525AKJH340</t>
  </si>
  <si>
    <t>525AKJH341</t>
  </si>
  <si>
    <t>525AKJH342</t>
  </si>
  <si>
    <t>525AKJH343</t>
  </si>
  <si>
    <t>525AKJH344</t>
  </si>
  <si>
    <t>525AKJH345</t>
  </si>
  <si>
    <t>525AKJH346</t>
  </si>
  <si>
    <t>525AKJH347</t>
  </si>
  <si>
    <t>525AKJH348</t>
  </si>
  <si>
    <t>525AKJH349</t>
  </si>
  <si>
    <t>525AKJH350</t>
  </si>
  <si>
    <t>525AKJH351</t>
  </si>
  <si>
    <t>525AKJH352</t>
  </si>
  <si>
    <t>525AKJH353</t>
  </si>
  <si>
    <t>525AKJH354</t>
  </si>
  <si>
    <t>525AKJH355</t>
  </si>
  <si>
    <t>525AKJH356</t>
  </si>
  <si>
    <t>525AKJH357</t>
  </si>
  <si>
    <t>525AKJH358</t>
  </si>
  <si>
    <t>525AKJH359</t>
  </si>
  <si>
    <t>525AKJH360</t>
  </si>
  <si>
    <t>525AKJH361</t>
  </si>
  <si>
    <t>525AKJH362</t>
  </si>
  <si>
    <t>525AKJH363</t>
  </si>
  <si>
    <t>525AKJH364</t>
  </si>
  <si>
    <t>525AKJH365</t>
  </si>
  <si>
    <t>525AKJH366</t>
  </si>
  <si>
    <t>525AKJH367</t>
  </si>
  <si>
    <t>525AKJH368</t>
  </si>
  <si>
    <t>525AKJH369</t>
  </si>
  <si>
    <t>525AKJH370</t>
  </si>
  <si>
    <t>525AKJH371</t>
  </si>
  <si>
    <t>525AKJH372</t>
  </si>
  <si>
    <t>525AKJH373</t>
  </si>
  <si>
    <t>525AKJH374</t>
  </si>
  <si>
    <t>525AKJH375</t>
  </si>
  <si>
    <t>525AKJH376</t>
  </si>
  <si>
    <t>525AKJH377</t>
  </si>
  <si>
    <t>525AKJH378</t>
  </si>
  <si>
    <t>525AKJH379</t>
  </si>
  <si>
    <t>525AKJH380</t>
  </si>
  <si>
    <t>525AKJH381</t>
  </si>
  <si>
    <t>525AKJH382</t>
  </si>
  <si>
    <t>525AKJH383</t>
  </si>
  <si>
    <t>525AKJH384</t>
  </si>
  <si>
    <t>525AKJH385</t>
  </si>
  <si>
    <t>525AKJH386</t>
  </si>
  <si>
    <t>525AKJH387</t>
  </si>
  <si>
    <t>525AKJH388</t>
  </si>
  <si>
    <t>525AKJH389</t>
  </si>
  <si>
    <t>525AKJH390</t>
  </si>
  <si>
    <t>525AKJH391</t>
  </si>
  <si>
    <t>525AKJH392</t>
  </si>
  <si>
    <t>525AKJH393</t>
  </si>
  <si>
    <t>525AKJH394</t>
  </si>
  <si>
    <t>525AKJH395</t>
  </si>
  <si>
    <t>525AKJH396</t>
  </si>
  <si>
    <t>525AKJH398</t>
  </si>
  <si>
    <t>525AKUP072</t>
  </si>
  <si>
    <t>525AKUP087</t>
  </si>
  <si>
    <t>525AKUP104</t>
  </si>
  <si>
    <t>525AKJH264</t>
  </si>
  <si>
    <t>DIAME FAUSTINE (VI)</t>
  </si>
  <si>
    <t>YAMOAH KOBINA AFARI (HI)</t>
  </si>
  <si>
    <t>ABANKWA THERESA</t>
  </si>
  <si>
    <t>ABASIBA PATRICIA</t>
  </si>
  <si>
    <t>ABOAGYE BENJAMIN</t>
  </si>
  <si>
    <t>ABOAGYE IVY AFARIBEA</t>
  </si>
  <si>
    <t>ABOAGYE MICHAELINA</t>
  </si>
  <si>
    <t>ABOAGYE-ADASODEY LUCKY</t>
  </si>
  <si>
    <t>ABOAGYEWAA PATRICIA</t>
  </si>
  <si>
    <t>ACHIAA VERONICA</t>
  </si>
  <si>
    <t>ADAMTEY GABRIEL NARTEH</t>
  </si>
  <si>
    <t>ADARKWAH WILLIAM ASANTE</t>
  </si>
  <si>
    <t>ADASSIM AGNES AKUA</t>
  </si>
  <si>
    <t>ADDO NANA KWASI</t>
  </si>
  <si>
    <t>ADDO GLORIA</t>
  </si>
  <si>
    <t>ADDY EMMANUEL</t>
  </si>
  <si>
    <t>ADISI MACLEAN ADJEI</t>
  </si>
  <si>
    <t>ADJEI BENEDICTA</t>
  </si>
  <si>
    <t>ADJEI ADJELEY SANDRA</t>
  </si>
  <si>
    <t>ADJEI BERNICE SELBBY</t>
  </si>
  <si>
    <t>ADJEI GODWIN</t>
  </si>
  <si>
    <t>ADJEI BRIGHT FOSTER</t>
  </si>
  <si>
    <t>ADJEI-DANSO RACHEAL</t>
  </si>
  <si>
    <t>ADOM OWIREDU KELVIN</t>
  </si>
  <si>
    <t>ADONDIWO ANTHONY KOTUA</t>
  </si>
  <si>
    <t>ADU VIVIAN YEBOAH</t>
  </si>
  <si>
    <t>ADU RHODALINE</t>
  </si>
  <si>
    <t>ADU JANET</t>
  </si>
  <si>
    <t>ADU TRINITY MENSAH</t>
  </si>
  <si>
    <t>ADU-BOADU KETURAH AKYAA</t>
  </si>
  <si>
    <t>ADU-POKUAA EMMANUELLA JNR</t>
  </si>
  <si>
    <t>ADUYE ISAAC</t>
  </si>
  <si>
    <t>ADZA STEPHEN</t>
  </si>
  <si>
    <t>AFRAM AMENDA</t>
  </si>
  <si>
    <t>AGBENYEDZI CHRISTIANA</t>
  </si>
  <si>
    <t>AGBO DEDE BELINDA</t>
  </si>
  <si>
    <t>AGYAPONG OHENE EMMANUEL</t>
  </si>
  <si>
    <t>AGYEIBEA MARTHA</t>
  </si>
  <si>
    <t>AGYEIWAA PRISCILLA SASU</t>
  </si>
  <si>
    <t>AGYEMANG BISMARK (HI)</t>
  </si>
  <si>
    <t>AGYEN THOMAS</t>
  </si>
  <si>
    <t>AHIAGBENYOH DESMOND EDEM</t>
  </si>
  <si>
    <t>AIDOO CLINTON</t>
  </si>
  <si>
    <t>AKAH KWABENA OKYERE (HI)</t>
  </si>
  <si>
    <t>AKORLI ESTHER (HI)</t>
  </si>
  <si>
    <t>AKOTOA ESTHER</t>
  </si>
  <si>
    <t>AKPALU ISSABELLA</t>
  </si>
  <si>
    <t>AKUFFO RICHARD</t>
  </si>
  <si>
    <t>ALHASSAN AISHA</t>
  </si>
  <si>
    <t>ALHASSAN JANAT</t>
  </si>
  <si>
    <t>ALLEN JULIANA ASOR</t>
  </si>
  <si>
    <t>AMADU MARK</t>
  </si>
  <si>
    <t>AMANKWA GLADYS</t>
  </si>
  <si>
    <t>AMANKWAH CHRISTIAN</t>
  </si>
  <si>
    <t>AMANKWAA EMMANUEL AGYEKUM</t>
  </si>
  <si>
    <t>AMEGAH ROBERT</t>
  </si>
  <si>
    <t>AMEHO MILLICENT AMEWU</t>
  </si>
  <si>
    <t>AMESE KING SOLOMON</t>
  </si>
  <si>
    <t>AMISSAH SARAH</t>
  </si>
  <si>
    <t>AMO LAWRENCIA NYANTAKYIWAA</t>
  </si>
  <si>
    <t>AMOAH MILLICENT</t>
  </si>
  <si>
    <t>AMOAKO ALEXANDER</t>
  </si>
  <si>
    <t>AMOAKO BENEDICT OSEI</t>
  </si>
  <si>
    <t>AMOAKOH ATUOBUAH ABIGAIL</t>
  </si>
  <si>
    <t>AMPOFO ISAAC</t>
  </si>
  <si>
    <t>AMPOFOA ASIEDUA ELIZABETH</t>
  </si>
  <si>
    <t>AMPONSAH LYDIA ODOI</t>
  </si>
  <si>
    <t>AMUZU COLLINS</t>
  </si>
  <si>
    <t>ANAFO NYAABA (HI)</t>
  </si>
  <si>
    <t>ANAKWA ERNESTINA ABOABEA</t>
  </si>
  <si>
    <t>ANIAPAM ALEXANDER</t>
  </si>
  <si>
    <t>ANIM EDWARD TERKPERNOR</t>
  </si>
  <si>
    <t>ANIM PAUL AGYEI</t>
  </si>
  <si>
    <t>ANIM OKAIKOR PATIENCE</t>
  </si>
  <si>
    <t>ANIMAH SARAH</t>
  </si>
  <si>
    <t>ANKA JONAS</t>
  </si>
  <si>
    <t>ANKRAH PATIENCE</t>
  </si>
  <si>
    <t>ANKRAH JANET</t>
  </si>
  <si>
    <t>ANNOI GLORIA</t>
  </si>
  <si>
    <t>ANOBAAH STEPHEN</t>
  </si>
  <si>
    <t>ANOKYE JUSTICE</t>
  </si>
  <si>
    <t>ANSAH ROSE TIAA</t>
  </si>
  <si>
    <t>ANTOH INNOCENTIA</t>
  </si>
  <si>
    <t>ANTWI AWOTWE GOODNESS</t>
  </si>
  <si>
    <t>ANTWI RACHAEL BOATEMAA</t>
  </si>
  <si>
    <t>ANTWI FRIMPONG ALEXANDER</t>
  </si>
  <si>
    <t>ANTWI ERIC</t>
  </si>
  <si>
    <t>ASUMING ANTWI</t>
  </si>
  <si>
    <t>ANYABA PRISCILLA AWANALIMALIE</t>
  </si>
  <si>
    <t>ANYANFUL BRIGHT</t>
  </si>
  <si>
    <t>APELETE GODWIN APENU</t>
  </si>
  <si>
    <t>APENTENG EMMANUELLA</t>
  </si>
  <si>
    <t>APPIAH DESMOND</t>
  </si>
  <si>
    <t>APPIAH GRACE</t>
  </si>
  <si>
    <t>APPIAH GEORGE</t>
  </si>
  <si>
    <t>APPIAH-ADU CALEB</t>
  </si>
  <si>
    <t>ARKU CHRISTABEL</t>
  </si>
  <si>
    <t>ARKU JUDE</t>
  </si>
  <si>
    <t>ARYEETEY ROSEMARY</t>
  </si>
  <si>
    <t>ASAH ATTA EMMANUEL</t>
  </si>
  <si>
    <t>ASAMOAH ROLAND</t>
  </si>
  <si>
    <t>ASAMOAH GODRED ADU</t>
  </si>
  <si>
    <t>ASAMOAH STEPHEN</t>
  </si>
  <si>
    <t>ASANGBA MARDENNA DELALI</t>
  </si>
  <si>
    <t>ASANTE BENJAMIN AGYIRI</t>
  </si>
  <si>
    <t>ASANTE OFORIWAA JOANITA</t>
  </si>
  <si>
    <t>ASANTE EMMANUELLA</t>
  </si>
  <si>
    <t>ASANTEWAA ADWOA ESTHER</t>
  </si>
  <si>
    <t>ASARE WENDY BOSOMPEMAA</t>
  </si>
  <si>
    <t>ASARE SETH NYARKO ADU</t>
  </si>
  <si>
    <t>ASARE KWAKOAA COMFORT</t>
  </si>
  <si>
    <t>ASARE JOSEPHINE ADDO</t>
  </si>
  <si>
    <t>ASARE OBIRIKORANG DENNIS</t>
  </si>
  <si>
    <t>ASECHIRA BATAPOKUYIRA RHODA (HI)</t>
  </si>
  <si>
    <t>ASIAMAH EDMUND</t>
  </si>
  <si>
    <t>ASIEDU ELVIS ABBAN</t>
  </si>
  <si>
    <t>ASILEVI MICHAEL (HI)</t>
  </si>
  <si>
    <t>ASIRIFI ERIC PIPIM</t>
  </si>
  <si>
    <t>ATEI JULIET</t>
  </si>
  <si>
    <t>ATOBRAH ABENA FOSUAH</t>
  </si>
  <si>
    <t>ATSIVEDU EMMANUELLA NARKIE</t>
  </si>
  <si>
    <t>ATTEH-NANOR TITUS</t>
  </si>
  <si>
    <t>ATULE GABRIEL AWINGUR</t>
  </si>
  <si>
    <t>AWUAH ELLEN</t>
  </si>
  <si>
    <t>AWUAH SAMUEL YEBOAH</t>
  </si>
  <si>
    <t>AWUTEY SHEPHERD</t>
  </si>
  <si>
    <t>AYAMA BENJAMIN ATINSOA</t>
  </si>
  <si>
    <t>AYENSU BENJAMIN (HI)</t>
  </si>
  <si>
    <t>AYIKU ANDREWS</t>
  </si>
  <si>
    <t>AZASIME JOSHUA SELORM</t>
  </si>
  <si>
    <t>AZILAH JOSEPHINE ABLAH</t>
  </si>
  <si>
    <t>AZUURE IMORO MOHAMMED (HI)</t>
  </si>
  <si>
    <t>BAAFI RICHMOND BOADI</t>
  </si>
  <si>
    <t>BAAH EMMANUEL</t>
  </si>
  <si>
    <t>BAAH BEATRICE FIANKOBEA</t>
  </si>
  <si>
    <t>BAAH DANKWAA RITA</t>
  </si>
  <si>
    <t>BAAH ERIC AGYEKUM</t>
  </si>
  <si>
    <t>BAIDEN BRIGHT KWABENA PEPRAH</t>
  </si>
  <si>
    <t>BAIDOO IRENE YAA</t>
  </si>
  <si>
    <t>BATSA MANFO YAW SYLVESTER</t>
  </si>
  <si>
    <t>BATSAH PRINCE</t>
  </si>
  <si>
    <t>BENTUM HENRY</t>
  </si>
  <si>
    <t>BERNARD TETTEH</t>
  </si>
  <si>
    <t>BIBAL KOFI EMMANUEL</t>
  </si>
  <si>
    <t>BINEY THOMAS</t>
  </si>
  <si>
    <t>BINEY REBECCA ASAMOAH</t>
  </si>
  <si>
    <t>BINFO BENJAMIN ADDO</t>
  </si>
  <si>
    <t>BINLINLA WUMBORBU MARTHA</t>
  </si>
  <si>
    <t>BOABENG JANET</t>
  </si>
  <si>
    <t>BOAFO GODWIN WIAFE</t>
  </si>
  <si>
    <t>BOAHEMAA HARRIET</t>
  </si>
  <si>
    <t>BOAHEN JOB</t>
  </si>
  <si>
    <t>BOAHEN PRINCE</t>
  </si>
  <si>
    <t>BOAKYE ERNEST</t>
  </si>
  <si>
    <t>BOAKYE ASOR BEATRICE</t>
  </si>
  <si>
    <t>BOAMAH MILLICENT</t>
  </si>
  <si>
    <t>BOAMAH SARAH</t>
  </si>
  <si>
    <t>BOATENG PRINCE KWADWO-KYE</t>
  </si>
  <si>
    <t>BOATENG SHEM</t>
  </si>
  <si>
    <t>BOATENG MICHAEL</t>
  </si>
  <si>
    <t>BOATENG OBOSHIE JOYCE PROVENCAL</t>
  </si>
  <si>
    <t>BOATENG ESTHER</t>
  </si>
  <si>
    <t>BOATENG ERNESTINA</t>
  </si>
  <si>
    <t>BOATENG BEATRICE NOYE</t>
  </si>
  <si>
    <t>BOATENG AGNES</t>
  </si>
  <si>
    <t>BOATENG EMMANUEL</t>
  </si>
  <si>
    <t>BOATENG BELINDA DEDE</t>
  </si>
  <si>
    <t>BONDZIE PHYLLIS YAA</t>
  </si>
  <si>
    <t>BONSU EMMANUEL SARKODIE</t>
  </si>
  <si>
    <t>BONSU DORIS</t>
  </si>
  <si>
    <t>BOSOMPEM JEFFERSON OFORI</t>
  </si>
  <si>
    <t>BOTWE VIDA</t>
  </si>
  <si>
    <t>BOTWE ABIGAIL</t>
  </si>
  <si>
    <t>BREFO ISAAC</t>
  </si>
  <si>
    <t>BUDAM ISAAC KWAME</t>
  </si>
  <si>
    <t>BUDU SAMUEL APPIAH</t>
  </si>
  <si>
    <t>CHEMENU AZIZ</t>
  </si>
  <si>
    <t>CLAYMAN EDWARD GAYHEART (HI)</t>
  </si>
  <si>
    <t>COMMEY BOTCHWAY ENOCK</t>
  </si>
  <si>
    <t>DADZIE GYASI ISAAC</t>
  </si>
  <si>
    <t>DAMESI JOSEPH</t>
  </si>
  <si>
    <t>DANKWAH BERNARD</t>
  </si>
  <si>
    <t>DANQUAH DAVID KOFI (HI)</t>
  </si>
  <si>
    <t>DARKO SAMUEL ABOAGYE</t>
  </si>
  <si>
    <t>DARKO EMMANUEL DARKWAH</t>
  </si>
  <si>
    <t>DARKO NANA KWAKU SOLOMON</t>
  </si>
  <si>
    <t>DARKO RAYMOND</t>
  </si>
  <si>
    <t>DARKO ANITA AGYEIWAA</t>
  </si>
  <si>
    <t>DARKOH REGINA OBENG</t>
  </si>
  <si>
    <t>ASARE ISAAC DARKWA</t>
  </si>
  <si>
    <t>DEBRAH ABOAGYE MICHAEL</t>
  </si>
  <si>
    <t>DEREKONG ELIJA (HI)</t>
  </si>
  <si>
    <t>DOGBE EBENEER</t>
  </si>
  <si>
    <t>DONTOH PAPA YAW (HI) NYARKO</t>
  </si>
  <si>
    <t>DWAMENA EFFAH AUGUSTINA</t>
  </si>
  <si>
    <t>DZAMESI ABRAHAM</t>
  </si>
  <si>
    <t>DZISAH AUGUSTINE (VI)</t>
  </si>
  <si>
    <t>DZOAGBE JENNIFER</t>
  </si>
  <si>
    <t>EGYIR BERNICE QUANSAH</t>
  </si>
  <si>
    <t>EMMANUEL DONKOR</t>
  </si>
  <si>
    <t>EYIAH ELISHA OSARDU</t>
  </si>
  <si>
    <t>EYIAH ELIJAH OSARDU</t>
  </si>
  <si>
    <t>FOKUO JAMES</t>
  </si>
  <si>
    <t>FORDJOUR AYISHA</t>
  </si>
  <si>
    <t>FOSU KWAA NANA AMA</t>
  </si>
  <si>
    <t>FREMAH RAHMAT</t>
  </si>
  <si>
    <t>FRIMPONG EMMANUEL WEREKO</t>
  </si>
  <si>
    <t>FRIMPONG MABEL</t>
  </si>
  <si>
    <t>FRIMPONG KYERE AWURABENA</t>
  </si>
  <si>
    <t>FRIMPONG OTENG CHRISTIANA</t>
  </si>
  <si>
    <t>FRIMPONGMAH CHRISTINA</t>
  </si>
  <si>
    <t>GADUGAH CHAIKIE LETICIA</t>
  </si>
  <si>
    <t>GAMOR CATHERINE</t>
  </si>
  <si>
    <t>GATI DIANA</t>
  </si>
  <si>
    <t>GBEVE MICHAEL KOBLA MAWULIKPLIM</t>
  </si>
  <si>
    <t>GIDISU NUSIMEBIA</t>
  </si>
  <si>
    <t>GYAMENAH THERESAH</t>
  </si>
  <si>
    <t>GYAN STEPHEN BORAH</t>
  </si>
  <si>
    <t>GYANSAH TIEKU JAMES</t>
  </si>
  <si>
    <t>GYEKE-NYARKO EUNICE ABOABEA</t>
  </si>
  <si>
    <t>HENNEH MICHAL</t>
  </si>
  <si>
    <t>HENYO EYRAM ANTOANNETTE</t>
  </si>
  <si>
    <t>HORVEY SOLOMON DONKOR</t>
  </si>
  <si>
    <t>INKUM DESMOND</t>
  </si>
  <si>
    <t>ISSAH WASHIU KUFFOUR</t>
  </si>
  <si>
    <t>KANKAM IVAN OPARE</t>
  </si>
  <si>
    <t>KENETEY PAULINA AKU</t>
  </si>
  <si>
    <t>KODUA COLLINS NANA ANTWI</t>
  </si>
  <si>
    <t>KOHO ALEXANDER</t>
  </si>
  <si>
    <t>KONADU CHRISTIANA</t>
  </si>
  <si>
    <t>KONLAN COMFORT MARIAMA</t>
  </si>
  <si>
    <t>KONOTEY OLIVIA</t>
  </si>
  <si>
    <t>KOOMSON VANESSA</t>
  </si>
  <si>
    <t>KORANKYE JENNIFER</t>
  </si>
  <si>
    <t>KORLEY SANDRA</t>
  </si>
  <si>
    <t>KUDIEWU FREDA HARRIET</t>
  </si>
  <si>
    <t>KUSI AGNES</t>
  </si>
  <si>
    <t>KUWORNU SELINA</t>
  </si>
  <si>
    <t>KWAPONG ASEMANIWA</t>
  </si>
  <si>
    <t>KWARTENG FRANK</t>
  </si>
  <si>
    <t>KWAYISI EMMANUEL</t>
  </si>
  <si>
    <t>KYEREMANTENG EBENEZER KOFI</t>
  </si>
  <si>
    <t>KYEREWAAH BERLINDA</t>
  </si>
  <si>
    <t>LAMPTEY MICHAEL</t>
  </si>
  <si>
    <t>LARBEA JANET</t>
  </si>
  <si>
    <t>LARBI SHEILLA ODI</t>
  </si>
  <si>
    <t>LARBI RUTH OFOSUA</t>
  </si>
  <si>
    <t>LARTEBEA DOREEN AKOSUA</t>
  </si>
  <si>
    <t>LOVI FLORENCE</t>
  </si>
  <si>
    <t>LUCY DARKWAH (HI)</t>
  </si>
  <si>
    <t>MAASUBEE ZUMO-AMBEE MARIAMA (VI)</t>
  </si>
  <si>
    <t>MANTEAW MONICA DJANOR</t>
  </si>
  <si>
    <t>MANTEAW AKORNORBEA CHARITY</t>
  </si>
  <si>
    <t>MANTEY MICHAEL ANSAH</t>
  </si>
  <si>
    <t>MANU AGYEIBEA ANNIE</t>
  </si>
  <si>
    <t>MANU JAMES</t>
  </si>
  <si>
    <t>MANUKURE EBENEZER</t>
  </si>
  <si>
    <t>MARFO MARY KYEREWAA</t>
  </si>
  <si>
    <t>MBEBNI AUGUSTINE</t>
  </si>
  <si>
    <t>MENSAH CLEMENT</t>
  </si>
  <si>
    <t>MENSAH BRIGHT</t>
  </si>
  <si>
    <t>MENSAH ROSINA</t>
  </si>
  <si>
    <t>MENSAH PRECIOUS AMA</t>
  </si>
  <si>
    <t>MENSAH LINDA</t>
  </si>
  <si>
    <t>MENSAH THEOPHILUS TETTEH</t>
  </si>
  <si>
    <t>MOHAMMED JAFAR (HI)</t>
  </si>
  <si>
    <t>MUALA VICTORIA MAKU</t>
  </si>
  <si>
    <t>NARH BEAUTY</t>
  </si>
  <si>
    <t>NARH LARWEH PRINCE</t>
  </si>
  <si>
    <t>NARTEY DOREEN</t>
  </si>
  <si>
    <t>NIGNAYAN M JOHN</t>
  </si>
  <si>
    <t>NKANSAH PERPETUAL</t>
  </si>
  <si>
    <t>NKRUMAH AUGUSTINE</t>
  </si>
  <si>
    <t>NOMO CLEMENT</t>
  </si>
  <si>
    <t>NONOME FRANCISCA</t>
  </si>
  <si>
    <t>NORTEY CHARLLOTE</t>
  </si>
  <si>
    <t>NTIAMOAH BARNABAS AMPONSAH</t>
  </si>
  <si>
    <t>NTIAMOAH RAMZY OFOSU</t>
  </si>
  <si>
    <t>NUSENU COURAGE KWADZO</t>
  </si>
  <si>
    <t>NYANIBA AWO</t>
  </si>
  <si>
    <t>NYANTAKYI VICTORIA AGYEMANG</t>
  </si>
  <si>
    <t>NYARKO SARPONGMAA JANET</t>
  </si>
  <si>
    <t>NYARKO WISDOM</t>
  </si>
  <si>
    <t>NYARKOAH MARY</t>
  </si>
  <si>
    <t>OBENG JACOB</t>
  </si>
  <si>
    <t>OBENG OTI GABRIEL KOFI</t>
  </si>
  <si>
    <t>OBIDIER WISDOM</t>
  </si>
  <si>
    <t>OBIRIKORANG KENNETH ADDO</t>
  </si>
  <si>
    <t>OBUOBI MAVIS</t>
  </si>
  <si>
    <t>OCRAN SAMUEL</t>
  </si>
  <si>
    <t>OCRAN ANIM MARTHA</t>
  </si>
  <si>
    <t>ODAME ADUTWUMWAA ABIGAIL</t>
  </si>
  <si>
    <t>ODOI ANNAN GIDEON</t>
  </si>
  <si>
    <t>ODOSOR ABENA KYERAA HARRIET</t>
  </si>
  <si>
    <t>ODURO ANOBEA LUCY</t>
  </si>
  <si>
    <t>OFFEI BERNICE ATUABEA</t>
  </si>
  <si>
    <t>OFFEI KATE KOME</t>
  </si>
  <si>
    <t>OFFEI MAXWELL ADU</t>
  </si>
  <si>
    <t>OFORI FRED</t>
  </si>
  <si>
    <t>OFORI GLORIA MANUBEA ASIAMAH</t>
  </si>
  <si>
    <t>OFORI BROBBEY BENARD</t>
  </si>
  <si>
    <t>OFOSU EMMANUEL</t>
  </si>
  <si>
    <t>OFOSU ALBERT TWUMASI</t>
  </si>
  <si>
    <t>OFOSU MAXWELL SARPONG</t>
  </si>
  <si>
    <t>OFOSU MERCY OFOSUA</t>
  </si>
  <si>
    <t>OFOSU RICHARD AKOTO</t>
  </si>
  <si>
    <t>OHENEWAA JANET</t>
  </si>
  <si>
    <t>OKYERE JOSHUA NANA</t>
  </si>
  <si>
    <t>OPOKU AFRIFA EMMANUELLA</t>
  </si>
  <si>
    <t>OPOKU ANTOINETTE</t>
  </si>
  <si>
    <t>OPPONG PRISCILLA SERWAAH</t>
  </si>
  <si>
    <t>OPPONG PRINCESS</t>
  </si>
  <si>
    <t>OPPONG IRENE ASANTEWAA</t>
  </si>
  <si>
    <t>OPPONG ENOCH (HI)</t>
  </si>
  <si>
    <t>OPPONG PATIENCE AMANKWAH</t>
  </si>
  <si>
    <t>OSEI LOIS ASIEDUA</t>
  </si>
  <si>
    <t>OSEI DANIEL</t>
  </si>
  <si>
    <t>OSEI BONSU EUGENE</t>
  </si>
  <si>
    <t>OSEI TUTU SAMUEL</t>
  </si>
  <si>
    <t>OTABIL RHODALINE</t>
  </si>
  <si>
    <t>OTENG THOMAS YEBOAH</t>
  </si>
  <si>
    <t>OTI HANNAH AGYIN</t>
  </si>
  <si>
    <t>OTOYANKA ALBERTA</t>
  </si>
  <si>
    <t>OTU NARTEKIE ABIGAIL</t>
  </si>
  <si>
    <t>OTU BELINDA</t>
  </si>
  <si>
    <t>OWUSU SOLOMON</t>
  </si>
  <si>
    <t>OWUSU THOMAS</t>
  </si>
  <si>
    <t>OWUSU ADDO MICHAEL</t>
  </si>
  <si>
    <t>OWUSU LARBI EMMANUEL</t>
  </si>
  <si>
    <t>OWUSU COLLINS</t>
  </si>
  <si>
    <t>OWUSUAA NANA DORCAS</t>
  </si>
  <si>
    <t>OYE MILLICENT</t>
  </si>
  <si>
    <t>PARKU MAWUNYOR SETH RODGER</t>
  </si>
  <si>
    <t>QUAICOE AMOS (HI)</t>
  </si>
  <si>
    <t>QUAINOO EMMANUEL KOFI</t>
  </si>
  <si>
    <t>QUARTEY JOEL NII KWARTEI</t>
  </si>
  <si>
    <t>QUAYE MAVIS</t>
  </si>
  <si>
    <t>SACKEY JESSICA</t>
  </si>
  <si>
    <t>SACKEY JUDE KOJO AMPIAH</t>
  </si>
  <si>
    <t>SALIMANJA ISAAC</t>
  </si>
  <si>
    <t>SARKODIE WISDOM ACHEAMPONG</t>
  </si>
  <si>
    <t>SARPONG GODFRED ABOAGYE</t>
  </si>
  <si>
    <t>SEDZRO PRINCE</t>
  </si>
  <si>
    <t>SEGBEFIA ESTHER</t>
  </si>
  <si>
    <t>SEY ENDONYA VICENTIAL</t>
  </si>
  <si>
    <t>SIAW DORCAS</t>
  </si>
  <si>
    <t>SIKANARTEY ISAAC DAITEY</t>
  </si>
  <si>
    <t>TEI EMMANUEL</t>
  </si>
  <si>
    <t>TEKPOR STELLA</t>
  </si>
  <si>
    <t>TENKORANG BLESSING</t>
  </si>
  <si>
    <t>TERKPERTEY PRINCE</t>
  </si>
  <si>
    <t>TETTEH PRISCILLA</t>
  </si>
  <si>
    <t>TETTEH HENRY</t>
  </si>
  <si>
    <t>TETTEH EBENEZER</t>
  </si>
  <si>
    <t>TETTEH EMMANUEL KWABLAH</t>
  </si>
  <si>
    <t>TEYE CECIL AMANOR</t>
  </si>
  <si>
    <t>TEYE KINGSLEY NANOR</t>
  </si>
  <si>
    <t>TEYI PRISCILLA JOAN</t>
  </si>
  <si>
    <t>THOMPSON MATTHEW ANABA</t>
  </si>
  <si>
    <t>TOGBE EMMANUEL</t>
  </si>
  <si>
    <t>TUFFOUR GERRAD NANA</t>
  </si>
  <si>
    <t>TWUM THEOPHILUS</t>
  </si>
  <si>
    <t>TWUM ENOCH ROSS</t>
  </si>
  <si>
    <t>TWUMWAA GRACE</t>
  </si>
  <si>
    <t>UMAR DAUD</t>
  </si>
  <si>
    <t>WAHAB HUMU</t>
  </si>
  <si>
    <t>WEWURA JUDITH</t>
  </si>
  <si>
    <t>WILSON COMFORT</t>
  </si>
  <si>
    <t>WEREKO JOYCE</t>
  </si>
  <si>
    <t>YAKUBU FATIMA BINTA</t>
  </si>
  <si>
    <t>YANKSON PHILIP</t>
  </si>
  <si>
    <t>YEBOAH NICHOLAS BOATENG</t>
  </si>
  <si>
    <t>YEBOAH FREDA OWUSUWAA (HI)</t>
  </si>
  <si>
    <t>YEBOAH COMFORT ANYANKWABEA</t>
  </si>
  <si>
    <t>YINPOK RITA</t>
  </si>
  <si>
    <t>YIRENKYI FAUSTINA AFFUM</t>
  </si>
  <si>
    <t>YIRISHOR BABIERE PAUL (HI)</t>
  </si>
  <si>
    <t>ZUGAH LOUIS</t>
  </si>
  <si>
    <t>ANKAARMAH ERIPUO (HI)</t>
  </si>
  <si>
    <t>ARTHUR JONATHAN</t>
  </si>
  <si>
    <t>AGYEMANG JOHN AKPLEHEY (VI)</t>
  </si>
  <si>
    <t>AGYEI ESTHER</t>
  </si>
  <si>
    <t>ODURO MAJOREY</t>
  </si>
  <si>
    <t>COFFIE DERRICK</t>
  </si>
  <si>
    <t>SEFAH DARKO OSBORN</t>
  </si>
  <si>
    <t>BAAH ALEXANDER</t>
  </si>
  <si>
    <t>HUSSEIN RAHINATU HASSANAH</t>
  </si>
  <si>
    <t>MUNTALA RAHEEMA</t>
  </si>
  <si>
    <t>OWUSU GYIMAH JEFFERY</t>
  </si>
  <si>
    <t>TASBAT MOHAMMED</t>
  </si>
  <si>
    <t>MANU DIANA</t>
  </si>
  <si>
    <t>524AKJH328</t>
  </si>
  <si>
    <t>ASHIAGBOR SAMUEL KWEI</t>
  </si>
  <si>
    <t>YEAR TWO SEMESTER TWO</t>
  </si>
  <si>
    <t>CEBC245</t>
  </si>
  <si>
    <t xml:space="preserve">LITERACY: TEACHING READING AND WRITING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</si>
</sst>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 applyAlignment="1" applyProtection="1">
      <alignment horizontal="centerContinuous"/>
      <protection hidden="1"/>
    </xf>
    <xf numFmtId="0" fontId="4" fillId="3" borderId="0" xfId="0" applyFont="1" applyFill="1" applyAlignment="1" applyProtection="1">
      <alignment horizontal="centerContinuous"/>
      <protection hidden="1"/>
    </xf>
    <xf numFmtId="14" fontId="4" fillId="0" borderId="0" xfId="0" applyNumberFormat="1" applyFont="1" applyProtection="1">
      <protection hidden="1"/>
    </xf>
    <xf numFmtId="0" fontId="4" fillId="0" borderId="0" xfId="0" applyFont="1" applyProtection="1">
      <protection hidden="1"/>
    </xf>
    <xf numFmtId="0" fontId="4" fillId="0" borderId="4" xfId="0" applyFont="1" applyBorder="1" applyAlignment="1" applyProtection="1">
      <alignment horizontal="centerContinuous"/>
      <protection hidden="1"/>
    </xf>
    <xf numFmtId="0" fontId="0" fillId="0" borderId="0" xfId="0" applyProtection="1">
      <protection hidden="1"/>
    </xf>
    <xf numFmtId="0" fontId="0" fillId="3" borderId="0" xfId="0" applyFill="1" applyProtection="1">
      <protection hidden="1"/>
    </xf>
    <xf numFmtId="0" fontId="1" fillId="2" borderId="11" xfId="0" applyFont="1" applyFill="1" applyBorder="1" applyProtection="1">
      <protection hidden="1"/>
    </xf>
    <xf numFmtId="0" fontId="1" fillId="3" borderId="11" xfId="0" applyFont="1" applyFill="1" applyBorder="1" applyProtection="1">
      <protection hidden="1"/>
    </xf>
    <xf numFmtId="0" fontId="1" fillId="0" borderId="12" xfId="0" applyFont="1" applyBorder="1" applyProtection="1">
      <protection hidden="1"/>
    </xf>
    <xf numFmtId="0" fontId="0" fillId="2" borderId="3" xfId="0" applyFill="1" applyBorder="1" applyProtection="1">
      <protection hidden="1"/>
    </xf>
    <xf numFmtId="0" fontId="0" fillId="3" borderId="3" xfId="0" applyFill="1" applyBorder="1" applyProtection="1">
      <protection hidden="1"/>
    </xf>
    <xf numFmtId="0" fontId="0" fillId="0" borderId="8" xfId="0" applyBorder="1" applyProtection="1">
      <protection hidden="1"/>
    </xf>
    <xf numFmtId="0" fontId="0" fillId="2" borderId="1" xfId="0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0" fillId="0" borderId="9" xfId="0" applyBorder="1" applyProtection="1">
      <protection hidden="1"/>
    </xf>
    <xf numFmtId="0" fontId="0" fillId="2" borderId="14" xfId="0" applyFill="1" applyBorder="1" applyProtection="1">
      <protection hidden="1"/>
    </xf>
    <xf numFmtId="0" fontId="0" fillId="3" borderId="14" xfId="0" applyFill="1" applyBorder="1" applyProtection="1">
      <protection hidden="1"/>
    </xf>
    <xf numFmtId="0" fontId="0" fillId="0" borderId="15" xfId="0" applyBorder="1" applyProtection="1">
      <protection hidden="1"/>
    </xf>
    <xf numFmtId="0" fontId="0" fillId="2" borderId="0" xfId="0" applyFill="1" applyProtection="1">
      <protection hidden="1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3" borderId="0" xfId="0" applyFont="1" applyFill="1" applyAlignment="1" applyProtection="1">
      <alignment horizontal="centerContinuous"/>
      <protection locked="0"/>
    </xf>
    <xf numFmtId="0" fontId="4" fillId="0" borderId="4" xfId="0" applyFont="1" applyBorder="1" applyAlignment="1" applyProtection="1">
      <alignment horizontal="right"/>
      <protection locked="0"/>
    </xf>
    <xf numFmtId="0" fontId="4" fillId="3" borderId="4" xfId="0" applyFont="1" applyFill="1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3" borderId="11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2" borderId="0" xfId="0" applyFill="1" applyProtection="1">
      <protection locked="0"/>
    </xf>
    <xf numFmtId="0" fontId="3" fillId="0" borderId="0" xfId="0" applyFont="1" applyAlignment="1" applyProtection="1">
      <alignment horizontal="centerContinuous"/>
      <protection hidden="1"/>
    </xf>
    <xf numFmtId="0" fontId="0" fillId="0" borderId="0" xfId="0" applyAlignment="1" applyProtection="1">
      <alignment horizontal="centerContinuous"/>
      <protection hidden="1"/>
    </xf>
    <xf numFmtId="0" fontId="3" fillId="4" borderId="1" xfId="0" applyFont="1" applyFill="1" applyBorder="1" applyProtection="1">
      <protection hidden="1"/>
    </xf>
    <xf numFmtId="0" fontId="0" fillId="0" borderId="1" xfId="0" applyBorder="1" applyProtection="1">
      <protection hidden="1"/>
    </xf>
    <xf numFmtId="9" fontId="0" fillId="0" borderId="1" xfId="1" applyFont="1" applyBorder="1" applyProtection="1">
      <protection hidden="1"/>
    </xf>
    <xf numFmtId="0" fontId="3" fillId="4" borderId="0" xfId="0" applyFont="1" applyFill="1" applyProtection="1">
      <protection hidden="1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medium">
          <color indexed="64"/>
        </bottom>
      </border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Sheet1!$M$7:$M$15</c:f>
              <c:strCache>
                <c:ptCount val="9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E</c:v>
                </c:pt>
                <c:pt idx="8">
                  <c:v>IC</c:v>
                </c:pt>
              </c:strCache>
            </c:strRef>
          </c:cat>
          <c:val>
            <c:numRef>
              <c:f>Sheet1!$N$7:$N$15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C-43EF-B030-57EC560DF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166296"/>
        <c:axId val="430166624"/>
      </c:barChart>
      <c:catAx>
        <c:axId val="43016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66624"/>
        <c:crosses val="autoZero"/>
        <c:auto val="1"/>
        <c:lblAlgn val="ctr"/>
        <c:lblOffset val="100"/>
        <c:noMultiLvlLbl val="0"/>
      </c:catAx>
      <c:valAx>
        <c:axId val="430166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016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113806</xdr:colOff>
      <xdr:row>4</xdr:row>
      <xdr:rowOff>37119</xdr:rowOff>
    </xdr:from>
    <xdr:to>
      <xdr:col>23</xdr:col>
      <xdr:colOff>442852</xdr:colOff>
      <xdr:row>18</xdr:row>
      <xdr:rowOff>170221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ssessment_Sheet" displayName="Assessment_Sheet" ref="B6:J1178" totalsRowShown="0" headerRowDxfId="12" dataDxfId="10" headerRowBorderDxfId="11" tableBorderDxfId="9">
  <autoFilter ref="B6:J1178" xr:uid="{00000000-0009-0000-0100-000002000000}"/>
  <tableColumns count="9">
    <tableColumn id="1" xr3:uid="{00000000-0010-0000-0000-000001000000}" name="NAME " dataDxfId="8"/>
    <tableColumn id="2" xr3:uid="{00000000-0010-0000-0000-000002000000}" name="INDEX NUMBER " dataDxfId="7"/>
    <tableColumn id="3" xr3:uid="{00000000-0010-0000-0000-000003000000}" name="COURSE CODE" dataDxfId="6"/>
    <tableColumn id="4" xr3:uid="{00000000-0010-0000-0000-000004000000}" name="COUSE TITLE" dataDxfId="5"/>
    <tableColumn id="5" xr3:uid="{00000000-0010-0000-0000-000005000000}" name="CA (60)" dataDxfId="4"/>
    <tableColumn id="6" xr3:uid="{00000000-0010-0000-0000-000006000000}" name="EXAM (60)" dataDxfId="3"/>
    <tableColumn id="7" xr3:uid="{00000000-0010-0000-0000-000007000000}" name="40% OF EXAM" dataDxfId="2">
      <calculatedColumnFormula>IF(Assessment_Sheet[[#This Row],[NAME ]]="","",ROUND((G7/60*40),0))</calculatedColumnFormula>
    </tableColumn>
    <tableColumn id="8" xr3:uid="{00000000-0010-0000-0000-000008000000}" name="TOTAL " dataDxfId="1">
      <calculatedColumnFormula>IFERROR(ROUND((F7+H7),0),"")</calculatedColumnFormula>
    </tableColumn>
    <tableColumn id="9" xr3:uid="{00000000-0010-0000-0000-000009000000}" name="GRADE" dataDxfId="0">
      <calculatedColumnFormula>IF(B7="","",IF(OR(F7="",G7=""),"IC",VLOOKUP(I7,Scale[],2,1)))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cale" displayName="Scale" ref="C1:D9" totalsRowShown="0">
  <autoFilter ref="C1:D9" xr:uid="{00000000-0009-0000-0100-000001000000}"/>
  <tableColumns count="2">
    <tableColumn id="1" xr3:uid="{00000000-0010-0000-0100-000001000000}" name="Marks"/>
    <tableColumn id="2" xr3:uid="{00000000-0010-0000-0100-000002000000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8"/>
  <sheetViews>
    <sheetView showGridLines="0" tabSelected="1" zoomScale="70" zoomScaleNormal="70" workbookViewId="0">
      <pane ySplit="6" topLeftCell="A7" activePane="bottomLeft" state="frozen"/>
      <selection pane="bottomLeft" activeCell="C1" sqref="C1:F1"/>
    </sheetView>
  </sheetViews>
  <sheetFormatPr defaultColWidth="9.1796875" defaultRowHeight="14.5" x14ac:dyDescent="0.35"/>
  <cols>
    <col min="1" max="1" width="6.1796875" style="21" customWidth="1"/>
    <col min="2" max="2" width="33.1796875" style="21" customWidth="1"/>
    <col min="3" max="3" width="17.453125" style="21" customWidth="1"/>
    <col min="4" max="4" width="15.54296875" style="21" customWidth="1"/>
    <col min="5" max="5" width="25.7265625" style="21" customWidth="1"/>
    <col min="6" max="6" width="18.1796875" style="38" customWidth="1"/>
    <col min="7" max="7" width="16.1796875" style="27" customWidth="1"/>
    <col min="8" max="8" width="21" style="20" customWidth="1"/>
    <col min="9" max="9" width="10.1796875" style="7" customWidth="1"/>
    <col min="10" max="10" width="10.1796875" style="6" customWidth="1"/>
    <col min="11" max="12" width="9.1796875" style="21"/>
    <col min="13" max="13" width="13.26953125" style="21" customWidth="1"/>
    <col min="14" max="14" width="16.453125" style="21" customWidth="1"/>
    <col min="15" max="15" width="15.81640625" style="21" customWidth="1"/>
    <col min="16" max="16384" width="9.1796875" style="21"/>
  </cols>
  <sheetData>
    <row r="1" spans="1:15" ht="18.5" x14ac:dyDescent="0.45">
      <c r="B1" s="22" t="s">
        <v>20</v>
      </c>
      <c r="C1" s="49" t="s">
        <v>29</v>
      </c>
      <c r="D1" s="49"/>
      <c r="E1" s="49"/>
      <c r="F1" s="49"/>
      <c r="G1" s="23"/>
      <c r="H1" s="1"/>
      <c r="I1" s="2"/>
      <c r="J1" s="1"/>
    </row>
    <row r="2" spans="1:15" ht="18.5" x14ac:dyDescent="0.45">
      <c r="B2" s="22" t="s">
        <v>21</v>
      </c>
      <c r="C2" s="50" t="s">
        <v>30</v>
      </c>
      <c r="D2" s="50"/>
      <c r="E2" s="50"/>
      <c r="F2" s="50"/>
      <c r="G2" s="23"/>
      <c r="H2" s="3"/>
      <c r="I2" s="4"/>
      <c r="J2" s="4"/>
    </row>
    <row r="3" spans="1:15" ht="19" thickBot="1" x14ac:dyDescent="0.5">
      <c r="B3" s="24" t="s">
        <v>22</v>
      </c>
      <c r="C3" s="51" t="s">
        <v>816</v>
      </c>
      <c r="D3" s="51"/>
      <c r="E3" s="51"/>
      <c r="F3" s="51"/>
      <c r="G3" s="25" t="s">
        <v>23</v>
      </c>
      <c r="H3" s="5"/>
      <c r="I3" s="48"/>
      <c r="J3" s="48"/>
    </row>
    <row r="4" spans="1:15" x14ac:dyDescent="0.35">
      <c r="B4" s="26"/>
      <c r="F4" s="21"/>
      <c r="H4" s="6"/>
    </row>
    <row r="5" spans="1:15" x14ac:dyDescent="0.35">
      <c r="F5" s="21"/>
      <c r="H5" s="6"/>
      <c r="M5" s="39" t="s">
        <v>24</v>
      </c>
      <c r="N5" s="40"/>
      <c r="O5" s="39"/>
    </row>
    <row r="6" spans="1:15" ht="15" thickBot="1" x14ac:dyDescent="0.4">
      <c r="A6" s="28" t="s">
        <v>9</v>
      </c>
      <c r="B6" s="29" t="s">
        <v>2</v>
      </c>
      <c r="C6" s="30" t="s">
        <v>1</v>
      </c>
      <c r="D6" s="30" t="s">
        <v>0</v>
      </c>
      <c r="E6" s="30" t="s">
        <v>3</v>
      </c>
      <c r="F6" s="30" t="s">
        <v>4</v>
      </c>
      <c r="G6" s="31" t="s">
        <v>5</v>
      </c>
      <c r="H6" s="8" t="s">
        <v>6</v>
      </c>
      <c r="I6" s="9" t="s">
        <v>8</v>
      </c>
      <c r="J6" s="10" t="s">
        <v>7</v>
      </c>
      <c r="M6" s="41" t="s">
        <v>7</v>
      </c>
      <c r="N6" s="41" t="s">
        <v>27</v>
      </c>
      <c r="O6" s="41" t="s">
        <v>28</v>
      </c>
    </row>
    <row r="7" spans="1:15" x14ac:dyDescent="0.35">
      <c r="A7" s="32">
        <v>1</v>
      </c>
      <c r="B7" s="33" t="s">
        <v>423</v>
      </c>
      <c r="C7" s="32" t="s">
        <v>32</v>
      </c>
      <c r="D7" s="32" t="s">
        <v>817</v>
      </c>
      <c r="E7" s="32" t="s">
        <v>818</v>
      </c>
      <c r="F7" s="45">
        <v>56</v>
      </c>
      <c r="G7" s="45"/>
      <c r="H7" s="11">
        <f>IF(Assessment_Sheet[[#This Row],[NAME ]]="","",ROUND((G7/60*40),0))</f>
        <v>0</v>
      </c>
      <c r="I7" s="12">
        <f>IFERROR(ROUND((F7+H7),0),"")</f>
        <v>56</v>
      </c>
      <c r="J7" s="13" t="str">
        <f>IF(B7="","",IF(OR(F7="",G7=""),"IC",VLOOKUP(I7,Scale[],2,1)))</f>
        <v>IC</v>
      </c>
      <c r="M7" s="42" t="s">
        <v>17</v>
      </c>
      <c r="N7" s="42">
        <f>COUNTIF(Assessment_Sheet[GRADE],M7)</f>
        <v>0</v>
      </c>
      <c r="O7" s="43">
        <f>IFERROR(N7/$N$16,0)</f>
        <v>0</v>
      </c>
    </row>
    <row r="8" spans="1:15" x14ac:dyDescent="0.35">
      <c r="A8" s="34">
        <v>2</v>
      </c>
      <c r="B8" s="35" t="s">
        <v>424</v>
      </c>
      <c r="C8" s="34" t="s">
        <v>33</v>
      </c>
      <c r="D8" s="34" t="s">
        <v>817</v>
      </c>
      <c r="E8" s="32" t="s">
        <v>818</v>
      </c>
      <c r="F8" s="45">
        <v>54</v>
      </c>
      <c r="G8" s="45"/>
      <c r="H8" s="14">
        <f>IF(Assessment_Sheet[[#This Row],[NAME ]]="","",ROUND((G8/60*40),0))</f>
        <v>0</v>
      </c>
      <c r="I8" s="15">
        <f t="shared" ref="I8:I71" si="0">IFERROR(ROUND((F8+H8),0),"")</f>
        <v>54</v>
      </c>
      <c r="J8" s="16" t="str">
        <f>IF(B8="","",IF(OR(F8="",G8=""),"IC",VLOOKUP(I8,Scale[],2,1)))</f>
        <v>IC</v>
      </c>
      <c r="M8" s="42" t="s">
        <v>16</v>
      </c>
      <c r="N8" s="42">
        <f>COUNTIF(Assessment_Sheet[GRADE],M8)</f>
        <v>0</v>
      </c>
      <c r="O8" s="43">
        <f t="shared" ref="O8:O15" si="1">IFERROR(N8/$N$16,0)</f>
        <v>0</v>
      </c>
    </row>
    <row r="9" spans="1:15" x14ac:dyDescent="0.35">
      <c r="A9" s="34">
        <v>3</v>
      </c>
      <c r="B9" s="35" t="s">
        <v>425</v>
      </c>
      <c r="C9" s="34" t="s">
        <v>34</v>
      </c>
      <c r="D9" s="34" t="s">
        <v>817</v>
      </c>
      <c r="E9" s="32" t="s">
        <v>818</v>
      </c>
      <c r="F9" s="45">
        <v>50</v>
      </c>
      <c r="G9" s="45"/>
      <c r="H9" s="14">
        <f>IF(Assessment_Sheet[[#This Row],[NAME ]]="","",ROUND((G9/60*40),0))</f>
        <v>0</v>
      </c>
      <c r="I9" s="15">
        <f t="shared" si="0"/>
        <v>50</v>
      </c>
      <c r="J9" s="16" t="str">
        <f>IF(B9="","",IF(OR(F9="",G9=""),"IC",VLOOKUP(I9,Scale[],2,1)))</f>
        <v>IC</v>
      </c>
      <c r="M9" s="42" t="s">
        <v>15</v>
      </c>
      <c r="N9" s="42">
        <f>COUNTIF(Assessment_Sheet[GRADE],M9)</f>
        <v>0</v>
      </c>
      <c r="O9" s="43">
        <f t="shared" si="1"/>
        <v>0</v>
      </c>
    </row>
    <row r="10" spans="1:15" x14ac:dyDescent="0.35">
      <c r="A10" s="34">
        <v>4</v>
      </c>
      <c r="B10" s="35" t="s">
        <v>426</v>
      </c>
      <c r="C10" s="34" t="s">
        <v>35</v>
      </c>
      <c r="D10" s="34" t="s">
        <v>817</v>
      </c>
      <c r="E10" s="32" t="s">
        <v>818</v>
      </c>
      <c r="F10" s="45">
        <v>51</v>
      </c>
      <c r="G10" s="45"/>
      <c r="H10" s="14">
        <f>IF(Assessment_Sheet[[#This Row],[NAME ]]="","",ROUND((G10/60*40),0))</f>
        <v>0</v>
      </c>
      <c r="I10" s="15">
        <f t="shared" si="0"/>
        <v>51</v>
      </c>
      <c r="J10" s="16" t="str">
        <f>IF(B10="","",IF(OR(F10="",G10=""),"IC",VLOOKUP(I10,Scale[],2,1)))</f>
        <v>IC</v>
      </c>
      <c r="M10" s="42" t="s">
        <v>14</v>
      </c>
      <c r="N10" s="42">
        <f>COUNTIF(Assessment_Sheet[GRADE],M10)</f>
        <v>0</v>
      </c>
      <c r="O10" s="43">
        <f t="shared" si="1"/>
        <v>0</v>
      </c>
    </row>
    <row r="11" spans="1:15" x14ac:dyDescent="0.35">
      <c r="A11" s="34">
        <v>5</v>
      </c>
      <c r="B11" s="35" t="s">
        <v>427</v>
      </c>
      <c r="C11" s="34" t="s">
        <v>36</v>
      </c>
      <c r="D11" s="34" t="s">
        <v>817</v>
      </c>
      <c r="E11" s="32" t="s">
        <v>818</v>
      </c>
      <c r="F11" s="45">
        <v>55</v>
      </c>
      <c r="G11" s="45"/>
      <c r="H11" s="14">
        <f>IF(Assessment_Sheet[[#This Row],[NAME ]]="","",ROUND((G11/60*40),0))</f>
        <v>0</v>
      </c>
      <c r="I11" s="15">
        <f t="shared" si="0"/>
        <v>55</v>
      </c>
      <c r="J11" s="16" t="str">
        <f>IF(B11="","",IF(OR(F11="",G11=""),"IC",VLOOKUP(I11,Scale[],2,1)))</f>
        <v>IC</v>
      </c>
      <c r="M11" s="42" t="s">
        <v>13</v>
      </c>
      <c r="N11" s="42">
        <f>COUNTIF(Assessment_Sheet[GRADE],M11)</f>
        <v>0</v>
      </c>
      <c r="O11" s="43">
        <f t="shared" si="1"/>
        <v>0</v>
      </c>
    </row>
    <row r="12" spans="1:15" x14ac:dyDescent="0.35">
      <c r="A12" s="34">
        <v>6</v>
      </c>
      <c r="B12" s="35" t="s">
        <v>428</v>
      </c>
      <c r="C12" s="34" t="s">
        <v>37</v>
      </c>
      <c r="D12" s="34" t="s">
        <v>817</v>
      </c>
      <c r="E12" s="32" t="s">
        <v>818</v>
      </c>
      <c r="F12" s="45">
        <v>56</v>
      </c>
      <c r="G12" s="45"/>
      <c r="H12" s="14">
        <f>IF(Assessment_Sheet[[#This Row],[NAME ]]="","",ROUND((G12/60*40),0))</f>
        <v>0</v>
      </c>
      <c r="I12" s="15">
        <f t="shared" si="0"/>
        <v>56</v>
      </c>
      <c r="J12" s="16" t="str">
        <f>IF(B12="","",IF(OR(F12="",G12=""),"IC",VLOOKUP(I12,Scale[],2,1)))</f>
        <v>IC</v>
      </c>
      <c r="M12" s="42" t="s">
        <v>12</v>
      </c>
      <c r="N12" s="42">
        <f>COUNTIF(Assessment_Sheet[GRADE],M12)</f>
        <v>0</v>
      </c>
      <c r="O12" s="43">
        <f t="shared" si="1"/>
        <v>0</v>
      </c>
    </row>
    <row r="13" spans="1:15" x14ac:dyDescent="0.35">
      <c r="A13" s="34">
        <v>7</v>
      </c>
      <c r="B13" s="35" t="s">
        <v>429</v>
      </c>
      <c r="C13" s="34" t="s">
        <v>38</v>
      </c>
      <c r="D13" s="34" t="s">
        <v>817</v>
      </c>
      <c r="E13" s="32" t="s">
        <v>818</v>
      </c>
      <c r="F13" s="45">
        <v>56</v>
      </c>
      <c r="G13" s="45"/>
      <c r="H13" s="14">
        <f>IF(Assessment_Sheet[[#This Row],[NAME ]]="","",ROUND((G13/60*40),0))</f>
        <v>0</v>
      </c>
      <c r="I13" s="15">
        <f t="shared" si="0"/>
        <v>56</v>
      </c>
      <c r="J13" s="16" t="str">
        <f>IF(B13="","",IF(OR(F13="",G13=""),"IC",VLOOKUP(I13,Scale[],2,1)))</f>
        <v>IC</v>
      </c>
      <c r="M13" s="42" t="s">
        <v>11</v>
      </c>
      <c r="N13" s="42">
        <f>COUNTIF(Assessment_Sheet[GRADE],M13)</f>
        <v>0</v>
      </c>
      <c r="O13" s="43">
        <f t="shared" si="1"/>
        <v>0</v>
      </c>
    </row>
    <row r="14" spans="1:15" x14ac:dyDescent="0.35">
      <c r="A14" s="34">
        <v>8</v>
      </c>
      <c r="B14" s="35" t="s">
        <v>430</v>
      </c>
      <c r="C14" s="34" t="s">
        <v>39</v>
      </c>
      <c r="D14" s="34" t="s">
        <v>817</v>
      </c>
      <c r="E14" s="32" t="s">
        <v>818</v>
      </c>
      <c r="F14" s="46">
        <v>52</v>
      </c>
      <c r="G14" s="46"/>
      <c r="H14" s="14">
        <f>IF(Assessment_Sheet[[#This Row],[NAME ]]="","",ROUND((G14/60*40),0))</f>
        <v>0</v>
      </c>
      <c r="I14" s="15">
        <f t="shared" si="0"/>
        <v>52</v>
      </c>
      <c r="J14" s="16" t="str">
        <f>IF(B14="","",IF(OR(F14="",G14=""),"IC",VLOOKUP(I14,Scale[],2,1)))</f>
        <v>IC</v>
      </c>
      <c r="M14" s="42" t="s">
        <v>10</v>
      </c>
      <c r="N14" s="42">
        <f>COUNTIF(Assessment_Sheet[GRADE],M14)</f>
        <v>0</v>
      </c>
      <c r="O14" s="43">
        <f t="shared" si="1"/>
        <v>0</v>
      </c>
    </row>
    <row r="15" spans="1:15" x14ac:dyDescent="0.35">
      <c r="A15" s="34">
        <v>9</v>
      </c>
      <c r="B15" s="35" t="s">
        <v>431</v>
      </c>
      <c r="C15" s="34" t="s">
        <v>40</v>
      </c>
      <c r="D15" s="34" t="s">
        <v>817</v>
      </c>
      <c r="E15" s="34" t="s">
        <v>818</v>
      </c>
      <c r="F15" s="46">
        <v>56</v>
      </c>
      <c r="G15" s="46"/>
      <c r="H15" s="14">
        <f>IF(Assessment_Sheet[[#This Row],[NAME ]]="","",ROUND((G15/60*40),0))</f>
        <v>0</v>
      </c>
      <c r="I15" s="15">
        <f t="shared" si="0"/>
        <v>56</v>
      </c>
      <c r="J15" s="16" t="str">
        <f>IF(B15="","",IF(OR(F15="",G15=""),"IC",VLOOKUP(I15,Scale[],2,1)))</f>
        <v>IC</v>
      </c>
      <c r="M15" s="42" t="s">
        <v>25</v>
      </c>
      <c r="N15" s="42">
        <f>COUNTIF(Assessment_Sheet[GRADE],M15)</f>
        <v>393</v>
      </c>
      <c r="O15" s="43">
        <f t="shared" si="1"/>
        <v>1</v>
      </c>
    </row>
    <row r="16" spans="1:15" x14ac:dyDescent="0.35">
      <c r="A16" s="34">
        <v>10</v>
      </c>
      <c r="B16" s="35" t="s">
        <v>432</v>
      </c>
      <c r="C16" s="34" t="s">
        <v>41</v>
      </c>
      <c r="D16" s="34" t="s">
        <v>817</v>
      </c>
      <c r="E16" s="34" t="s">
        <v>818</v>
      </c>
      <c r="F16" s="46">
        <v>55</v>
      </c>
      <c r="G16" s="46"/>
      <c r="H16" s="14">
        <f>IF(Assessment_Sheet[[#This Row],[NAME ]]="","",ROUND((G16/60*40),0))</f>
        <v>0</v>
      </c>
      <c r="I16" s="15">
        <f t="shared" si="0"/>
        <v>55</v>
      </c>
      <c r="J16" s="16" t="str">
        <f>IF(B16="","",IF(OR(F16="",G16=""),"IC",VLOOKUP(I16,Scale[],2,1)))</f>
        <v>IC</v>
      </c>
      <c r="M16" s="44" t="s">
        <v>26</v>
      </c>
      <c r="N16" s="44">
        <f>SUM(N7:N15)</f>
        <v>393</v>
      </c>
      <c r="O16" s="44"/>
    </row>
    <row r="17" spans="1:10" x14ac:dyDescent="0.35">
      <c r="A17" s="34">
        <v>11</v>
      </c>
      <c r="B17" s="35" t="s">
        <v>433</v>
      </c>
      <c r="C17" s="34" t="s">
        <v>42</v>
      </c>
      <c r="D17" s="34" t="s">
        <v>817</v>
      </c>
      <c r="E17" s="34" t="s">
        <v>818</v>
      </c>
      <c r="F17" s="46">
        <v>53</v>
      </c>
      <c r="G17" s="46"/>
      <c r="H17" s="14">
        <f>IF(Assessment_Sheet[[#This Row],[NAME ]]="","",ROUND((G17/60*40),0))</f>
        <v>0</v>
      </c>
      <c r="I17" s="15">
        <f t="shared" si="0"/>
        <v>53</v>
      </c>
      <c r="J17" s="16" t="str">
        <f>IF(B17="","",IF(OR(F17="",G17=""),"IC",VLOOKUP(I17,Scale[],2,1)))</f>
        <v>IC</v>
      </c>
    </row>
    <row r="18" spans="1:10" x14ac:dyDescent="0.35">
      <c r="A18" s="34">
        <v>12</v>
      </c>
      <c r="B18" s="35" t="s">
        <v>434</v>
      </c>
      <c r="C18" s="34" t="s">
        <v>43</v>
      </c>
      <c r="D18" s="34" t="s">
        <v>817</v>
      </c>
      <c r="E18" s="34" t="s">
        <v>818</v>
      </c>
      <c r="F18" s="46"/>
      <c r="G18" s="46"/>
      <c r="H18" s="14">
        <f>IF(Assessment_Sheet[[#This Row],[NAME ]]="","",ROUND((G18/60*40),0))</f>
        <v>0</v>
      </c>
      <c r="I18" s="15">
        <f t="shared" si="0"/>
        <v>0</v>
      </c>
      <c r="J18" s="16" t="str">
        <f>IF(B18="","",IF(OR(F18="",G18=""),"IC",VLOOKUP(I18,Scale[],2,1)))</f>
        <v>IC</v>
      </c>
    </row>
    <row r="19" spans="1:10" x14ac:dyDescent="0.35">
      <c r="A19" s="34">
        <v>13</v>
      </c>
      <c r="B19" s="35" t="s">
        <v>435</v>
      </c>
      <c r="C19" s="34" t="s">
        <v>44</v>
      </c>
      <c r="D19" s="34" t="s">
        <v>817</v>
      </c>
      <c r="E19" s="34" t="s">
        <v>818</v>
      </c>
      <c r="F19" s="46">
        <v>55</v>
      </c>
      <c r="G19" s="46"/>
      <c r="H19" s="14">
        <f>IF(Assessment_Sheet[[#This Row],[NAME ]]="","",ROUND((G19/60*40),0))</f>
        <v>0</v>
      </c>
      <c r="I19" s="15">
        <f t="shared" si="0"/>
        <v>55</v>
      </c>
      <c r="J19" s="16" t="str">
        <f>IF(B19="","",IF(OR(F19="",G19=""),"IC",VLOOKUP(I19,Scale[],2,1)))</f>
        <v>IC</v>
      </c>
    </row>
    <row r="20" spans="1:10" x14ac:dyDescent="0.35">
      <c r="A20" s="34">
        <v>14</v>
      </c>
      <c r="B20" s="35" t="s">
        <v>436</v>
      </c>
      <c r="C20" s="34" t="s">
        <v>45</v>
      </c>
      <c r="D20" s="34" t="s">
        <v>817</v>
      </c>
      <c r="E20" s="34" t="s">
        <v>818</v>
      </c>
      <c r="F20" s="46">
        <v>48</v>
      </c>
      <c r="G20" s="46"/>
      <c r="H20" s="14">
        <f>IF(Assessment_Sheet[[#This Row],[NAME ]]="","",ROUND((G20/60*40),0))</f>
        <v>0</v>
      </c>
      <c r="I20" s="15">
        <f t="shared" si="0"/>
        <v>48</v>
      </c>
      <c r="J20" s="16" t="str">
        <f>IF(B20="","",IF(OR(F20="",G20=""),"IC",VLOOKUP(I20,Scale[],2,1)))</f>
        <v>IC</v>
      </c>
    </row>
    <row r="21" spans="1:10" x14ac:dyDescent="0.35">
      <c r="A21" s="34">
        <v>15</v>
      </c>
      <c r="B21" s="35" t="s">
        <v>437</v>
      </c>
      <c r="C21" s="34" t="s">
        <v>46</v>
      </c>
      <c r="D21" s="34" t="s">
        <v>817</v>
      </c>
      <c r="E21" s="34" t="s">
        <v>818</v>
      </c>
      <c r="F21" s="46">
        <v>53</v>
      </c>
      <c r="G21" s="46"/>
      <c r="H21" s="14">
        <f>IF(Assessment_Sheet[[#This Row],[NAME ]]="","",ROUND((G21/60*40),0))</f>
        <v>0</v>
      </c>
      <c r="I21" s="15">
        <f t="shared" si="0"/>
        <v>53</v>
      </c>
      <c r="J21" s="16" t="str">
        <f>IF(B21="","",IF(OR(F21="",G21=""),"IC",VLOOKUP(I21,Scale[],2,1)))</f>
        <v>IC</v>
      </c>
    </row>
    <row r="22" spans="1:10" x14ac:dyDescent="0.35">
      <c r="A22" s="34">
        <v>16</v>
      </c>
      <c r="B22" s="35" t="s">
        <v>438</v>
      </c>
      <c r="C22" s="34" t="s">
        <v>47</v>
      </c>
      <c r="D22" s="34" t="s">
        <v>817</v>
      </c>
      <c r="E22" s="34" t="s">
        <v>818</v>
      </c>
      <c r="F22" s="46"/>
      <c r="G22" s="46"/>
      <c r="H22" s="14">
        <f>IF(Assessment_Sheet[[#This Row],[NAME ]]="","",ROUND((G22/60*40),0))</f>
        <v>0</v>
      </c>
      <c r="I22" s="15">
        <f t="shared" si="0"/>
        <v>0</v>
      </c>
      <c r="J22" s="16" t="str">
        <f>IF(B22="","",IF(OR(F22="",G22=""),"IC",VLOOKUP(I22,Scale[],2,1)))</f>
        <v>IC</v>
      </c>
    </row>
    <row r="23" spans="1:10" x14ac:dyDescent="0.35">
      <c r="A23" s="34">
        <v>17</v>
      </c>
      <c r="B23" s="35" t="s">
        <v>439</v>
      </c>
      <c r="C23" s="34" t="s">
        <v>48</v>
      </c>
      <c r="D23" s="34" t="s">
        <v>817</v>
      </c>
      <c r="E23" s="34" t="s">
        <v>818</v>
      </c>
      <c r="F23" s="46"/>
      <c r="G23" s="46"/>
      <c r="H23" s="14">
        <f>IF(Assessment_Sheet[[#This Row],[NAME ]]="","",ROUND((G23/60*40),0))</f>
        <v>0</v>
      </c>
      <c r="I23" s="15">
        <f t="shared" si="0"/>
        <v>0</v>
      </c>
      <c r="J23" s="16" t="str">
        <f>IF(B23="","",IF(OR(F23="",G23=""),"IC",VLOOKUP(I23,Scale[],2,1)))</f>
        <v>IC</v>
      </c>
    </row>
    <row r="24" spans="1:10" x14ac:dyDescent="0.35">
      <c r="A24" s="34">
        <v>18</v>
      </c>
      <c r="B24" s="35" t="s">
        <v>440</v>
      </c>
      <c r="C24" s="34" t="s">
        <v>49</v>
      </c>
      <c r="D24" s="34" t="s">
        <v>817</v>
      </c>
      <c r="E24" s="34" t="s">
        <v>818</v>
      </c>
      <c r="F24" s="46">
        <v>55</v>
      </c>
      <c r="G24" s="46"/>
      <c r="H24" s="14">
        <f>IF(Assessment_Sheet[[#This Row],[NAME ]]="","",ROUND((G24/60*40),0))</f>
        <v>0</v>
      </c>
      <c r="I24" s="15">
        <f t="shared" si="0"/>
        <v>55</v>
      </c>
      <c r="J24" s="16" t="str">
        <f>IF(B24="","",IF(OR(F24="",G24=""),"IC",VLOOKUP(I24,Scale[],2,1)))</f>
        <v>IC</v>
      </c>
    </row>
    <row r="25" spans="1:10" x14ac:dyDescent="0.35">
      <c r="A25" s="34">
        <v>19</v>
      </c>
      <c r="B25" s="35" t="s">
        <v>441</v>
      </c>
      <c r="C25" s="34" t="s">
        <v>50</v>
      </c>
      <c r="D25" s="34" t="s">
        <v>817</v>
      </c>
      <c r="E25" s="34" t="s">
        <v>818</v>
      </c>
      <c r="F25" s="46">
        <v>45</v>
      </c>
      <c r="G25" s="46"/>
      <c r="H25" s="14">
        <f>IF(Assessment_Sheet[[#This Row],[NAME ]]="","",ROUND((G25/60*40),0))</f>
        <v>0</v>
      </c>
      <c r="I25" s="15">
        <f t="shared" si="0"/>
        <v>45</v>
      </c>
      <c r="J25" s="16" t="str">
        <f>IF(B25="","",IF(OR(F25="",G25=""),"IC",VLOOKUP(I25,Scale[],2,1)))</f>
        <v>IC</v>
      </c>
    </row>
    <row r="26" spans="1:10" x14ac:dyDescent="0.35">
      <c r="A26" s="34">
        <v>20</v>
      </c>
      <c r="B26" s="35" t="s">
        <v>442</v>
      </c>
      <c r="C26" s="34" t="s">
        <v>51</v>
      </c>
      <c r="D26" s="34" t="s">
        <v>817</v>
      </c>
      <c r="E26" s="34" t="s">
        <v>818</v>
      </c>
      <c r="F26" s="46">
        <v>50</v>
      </c>
      <c r="G26" s="46"/>
      <c r="H26" s="14">
        <f>IF(Assessment_Sheet[[#This Row],[NAME ]]="","",ROUND((G26/60*40),0))</f>
        <v>0</v>
      </c>
      <c r="I26" s="15">
        <f t="shared" si="0"/>
        <v>50</v>
      </c>
      <c r="J26" s="16" t="str">
        <f>IF(B26="","",IF(OR(F26="",G26=""),"IC",VLOOKUP(I26,Scale[],2,1)))</f>
        <v>IC</v>
      </c>
    </row>
    <row r="27" spans="1:10" x14ac:dyDescent="0.35">
      <c r="A27" s="34">
        <v>21</v>
      </c>
      <c r="B27" s="35" t="s">
        <v>443</v>
      </c>
      <c r="C27" s="34" t="s">
        <v>52</v>
      </c>
      <c r="D27" s="34" t="s">
        <v>817</v>
      </c>
      <c r="E27" s="34" t="s">
        <v>818</v>
      </c>
      <c r="F27" s="46"/>
      <c r="G27" s="46"/>
      <c r="H27" s="14">
        <f>IF(Assessment_Sheet[[#This Row],[NAME ]]="","",ROUND((G27/60*40),0))</f>
        <v>0</v>
      </c>
      <c r="I27" s="15">
        <f t="shared" si="0"/>
        <v>0</v>
      </c>
      <c r="J27" s="16" t="str">
        <f>IF(B27="","",IF(OR(F27="",G27=""),"IC",VLOOKUP(I27,Scale[],2,1)))</f>
        <v>IC</v>
      </c>
    </row>
    <row r="28" spans="1:10" x14ac:dyDescent="0.35">
      <c r="A28" s="34">
        <v>22</v>
      </c>
      <c r="B28" s="35" t="s">
        <v>444</v>
      </c>
      <c r="C28" s="34" t="s">
        <v>53</v>
      </c>
      <c r="D28" s="34" t="s">
        <v>817</v>
      </c>
      <c r="E28" s="34" t="s">
        <v>818</v>
      </c>
      <c r="F28" s="46">
        <v>47</v>
      </c>
      <c r="G28" s="46"/>
      <c r="H28" s="14">
        <f>IF(Assessment_Sheet[[#This Row],[NAME ]]="","",ROUND((G28/60*40),0))</f>
        <v>0</v>
      </c>
      <c r="I28" s="15">
        <f t="shared" si="0"/>
        <v>47</v>
      </c>
      <c r="J28" s="16" t="str">
        <f>IF(B28="","",IF(OR(F28="",G28=""),"IC",VLOOKUP(I28,Scale[],2,1)))</f>
        <v>IC</v>
      </c>
    </row>
    <row r="29" spans="1:10" x14ac:dyDescent="0.35">
      <c r="A29" s="34">
        <v>23</v>
      </c>
      <c r="B29" s="35" t="s">
        <v>445</v>
      </c>
      <c r="C29" s="34" t="s">
        <v>54</v>
      </c>
      <c r="D29" s="34" t="s">
        <v>817</v>
      </c>
      <c r="E29" s="34" t="s">
        <v>818</v>
      </c>
      <c r="F29" s="46">
        <v>53</v>
      </c>
      <c r="G29" s="46"/>
      <c r="H29" s="14">
        <f>IF(Assessment_Sheet[[#This Row],[NAME ]]="","",ROUND((G29/60*40),0))</f>
        <v>0</v>
      </c>
      <c r="I29" s="15">
        <f t="shared" si="0"/>
        <v>53</v>
      </c>
      <c r="J29" s="16" t="str">
        <f>IF(B29="","",IF(OR(F29="",G29=""),"IC",VLOOKUP(I29,Scale[],2,1)))</f>
        <v>IC</v>
      </c>
    </row>
    <row r="30" spans="1:10" x14ac:dyDescent="0.35">
      <c r="A30" s="34">
        <v>24</v>
      </c>
      <c r="B30" s="35" t="s">
        <v>446</v>
      </c>
      <c r="C30" s="34" t="s">
        <v>55</v>
      </c>
      <c r="D30" s="34" t="s">
        <v>817</v>
      </c>
      <c r="E30" s="34" t="s">
        <v>818</v>
      </c>
      <c r="F30" s="46">
        <v>45</v>
      </c>
      <c r="G30" s="46"/>
      <c r="H30" s="14">
        <f>IF(Assessment_Sheet[[#This Row],[NAME ]]="","",ROUND((G30/60*40),0))</f>
        <v>0</v>
      </c>
      <c r="I30" s="15">
        <f t="shared" si="0"/>
        <v>45</v>
      </c>
      <c r="J30" s="16" t="str">
        <f>IF(B30="","",IF(OR(F30="",G30=""),"IC",VLOOKUP(I30,Scale[],2,1)))</f>
        <v>IC</v>
      </c>
    </row>
    <row r="31" spans="1:10" x14ac:dyDescent="0.35">
      <c r="A31" s="34">
        <v>25</v>
      </c>
      <c r="B31" s="35" t="s">
        <v>447</v>
      </c>
      <c r="C31" s="34" t="s">
        <v>56</v>
      </c>
      <c r="D31" s="34" t="s">
        <v>817</v>
      </c>
      <c r="E31" s="34" t="s">
        <v>818</v>
      </c>
      <c r="F31" s="46">
        <v>54</v>
      </c>
      <c r="G31" s="46"/>
      <c r="H31" s="14">
        <f>IF(Assessment_Sheet[[#This Row],[NAME ]]="","",ROUND((G31/60*40),0))</f>
        <v>0</v>
      </c>
      <c r="I31" s="15">
        <f t="shared" si="0"/>
        <v>54</v>
      </c>
      <c r="J31" s="16" t="str">
        <f>IF(B31="","",IF(OR(F31="",G31=""),"IC",VLOOKUP(I31,Scale[],2,1)))</f>
        <v>IC</v>
      </c>
    </row>
    <row r="32" spans="1:10" x14ac:dyDescent="0.35">
      <c r="A32" s="34">
        <v>26</v>
      </c>
      <c r="B32" s="35" t="s">
        <v>448</v>
      </c>
      <c r="C32" s="34" t="s">
        <v>57</v>
      </c>
      <c r="D32" s="34" t="s">
        <v>817</v>
      </c>
      <c r="E32" s="34" t="s">
        <v>818</v>
      </c>
      <c r="F32" s="46">
        <v>56</v>
      </c>
      <c r="G32" s="46"/>
      <c r="H32" s="14">
        <f>IF(Assessment_Sheet[[#This Row],[NAME ]]="","",ROUND((G32/60*40),0))</f>
        <v>0</v>
      </c>
      <c r="I32" s="15">
        <f t="shared" si="0"/>
        <v>56</v>
      </c>
      <c r="J32" s="16" t="str">
        <f>IF(B32="","",IF(OR(F32="",G32=""),"IC",VLOOKUP(I32,Scale[],2,1)))</f>
        <v>IC</v>
      </c>
    </row>
    <row r="33" spans="1:10" x14ac:dyDescent="0.35">
      <c r="A33" s="34">
        <v>27</v>
      </c>
      <c r="B33" s="35" t="s">
        <v>449</v>
      </c>
      <c r="C33" s="34" t="s">
        <v>58</v>
      </c>
      <c r="D33" s="34" t="s">
        <v>817</v>
      </c>
      <c r="E33" s="34" t="s">
        <v>818</v>
      </c>
      <c r="F33" s="46">
        <v>52</v>
      </c>
      <c r="G33" s="46"/>
      <c r="H33" s="14">
        <f>IF(Assessment_Sheet[[#This Row],[NAME ]]="","",ROUND((G33/60*40),0))</f>
        <v>0</v>
      </c>
      <c r="I33" s="15">
        <f t="shared" si="0"/>
        <v>52</v>
      </c>
      <c r="J33" s="16" t="str">
        <f>IF(B33="","",IF(OR(F33="",G33=""),"IC",VLOOKUP(I33,Scale[],2,1)))</f>
        <v>IC</v>
      </c>
    </row>
    <row r="34" spans="1:10" x14ac:dyDescent="0.35">
      <c r="A34" s="34">
        <v>28</v>
      </c>
      <c r="B34" s="35" t="s">
        <v>450</v>
      </c>
      <c r="C34" s="34" t="s">
        <v>59</v>
      </c>
      <c r="D34" s="34" t="s">
        <v>817</v>
      </c>
      <c r="E34" s="34" t="s">
        <v>818</v>
      </c>
      <c r="F34" s="46">
        <v>50</v>
      </c>
      <c r="G34" s="46"/>
      <c r="H34" s="14">
        <f>IF(Assessment_Sheet[[#This Row],[NAME ]]="","",ROUND((G34/60*40),0))</f>
        <v>0</v>
      </c>
      <c r="I34" s="15">
        <f t="shared" si="0"/>
        <v>50</v>
      </c>
      <c r="J34" s="16" t="str">
        <f>IF(B34="","",IF(OR(F34="",G34=""),"IC",VLOOKUP(I34,Scale[],2,1)))</f>
        <v>IC</v>
      </c>
    </row>
    <row r="35" spans="1:10" x14ac:dyDescent="0.35">
      <c r="A35" s="34">
        <v>29</v>
      </c>
      <c r="B35" s="35" t="s">
        <v>451</v>
      </c>
      <c r="C35" s="34" t="s">
        <v>60</v>
      </c>
      <c r="D35" s="34" t="s">
        <v>817</v>
      </c>
      <c r="E35" s="34" t="s">
        <v>818</v>
      </c>
      <c r="F35" s="46">
        <v>56</v>
      </c>
      <c r="G35" s="46"/>
      <c r="H35" s="14">
        <f>IF(Assessment_Sheet[[#This Row],[NAME ]]="","",ROUND((G35/60*40),0))</f>
        <v>0</v>
      </c>
      <c r="I35" s="15">
        <f t="shared" si="0"/>
        <v>56</v>
      </c>
      <c r="J35" s="16" t="str">
        <f>IF(B35="","",IF(OR(F35="",G35=""),"IC",VLOOKUP(I35,Scale[],2,1)))</f>
        <v>IC</v>
      </c>
    </row>
    <row r="36" spans="1:10" x14ac:dyDescent="0.35">
      <c r="A36" s="34">
        <v>30</v>
      </c>
      <c r="B36" s="35" t="s">
        <v>452</v>
      </c>
      <c r="C36" s="34" t="s">
        <v>61</v>
      </c>
      <c r="D36" s="34" t="s">
        <v>817</v>
      </c>
      <c r="E36" s="34" t="s">
        <v>818</v>
      </c>
      <c r="F36" s="46">
        <v>53</v>
      </c>
      <c r="G36" s="46"/>
      <c r="H36" s="14">
        <f>IF(Assessment_Sheet[[#This Row],[NAME ]]="","",ROUND((G36/60*40),0))</f>
        <v>0</v>
      </c>
      <c r="I36" s="15">
        <f t="shared" si="0"/>
        <v>53</v>
      </c>
      <c r="J36" s="16" t="str">
        <f>IF(B36="","",IF(OR(F36="",G36=""),"IC",VLOOKUP(I36,Scale[],2,1)))</f>
        <v>IC</v>
      </c>
    </row>
    <row r="37" spans="1:10" x14ac:dyDescent="0.35">
      <c r="A37" s="34">
        <v>31</v>
      </c>
      <c r="B37" s="35" t="s">
        <v>453</v>
      </c>
      <c r="C37" s="34" t="s">
        <v>62</v>
      </c>
      <c r="D37" s="34" t="s">
        <v>817</v>
      </c>
      <c r="E37" s="34" t="s">
        <v>818</v>
      </c>
      <c r="F37" s="46">
        <v>55</v>
      </c>
      <c r="G37" s="46"/>
      <c r="H37" s="14">
        <f>IF(Assessment_Sheet[[#This Row],[NAME ]]="","",ROUND((G37/60*40),0))</f>
        <v>0</v>
      </c>
      <c r="I37" s="15">
        <f t="shared" si="0"/>
        <v>55</v>
      </c>
      <c r="J37" s="16" t="str">
        <f>IF(B37="","",IF(OR(F37="",G37=""),"IC",VLOOKUP(I37,Scale[],2,1)))</f>
        <v>IC</v>
      </c>
    </row>
    <row r="38" spans="1:10" x14ac:dyDescent="0.35">
      <c r="A38" s="34">
        <v>32</v>
      </c>
      <c r="B38" s="35" t="s">
        <v>454</v>
      </c>
      <c r="C38" s="34" t="s">
        <v>63</v>
      </c>
      <c r="D38" s="34" t="s">
        <v>817</v>
      </c>
      <c r="E38" s="34" t="s">
        <v>818</v>
      </c>
      <c r="F38" s="46"/>
      <c r="G38" s="46"/>
      <c r="H38" s="14">
        <f>IF(Assessment_Sheet[[#This Row],[NAME ]]="","",ROUND((G38/60*40),0))</f>
        <v>0</v>
      </c>
      <c r="I38" s="15">
        <f t="shared" si="0"/>
        <v>0</v>
      </c>
      <c r="J38" s="16" t="str">
        <f>IF(B38="","",IF(OR(F38="",G38=""),"IC",VLOOKUP(I38,Scale[],2,1)))</f>
        <v>IC</v>
      </c>
    </row>
    <row r="39" spans="1:10" x14ac:dyDescent="0.35">
      <c r="A39" s="34">
        <v>33</v>
      </c>
      <c r="B39" s="35" t="s">
        <v>455</v>
      </c>
      <c r="C39" s="34" t="s">
        <v>64</v>
      </c>
      <c r="D39" s="34" t="s">
        <v>817</v>
      </c>
      <c r="E39" s="34" t="s">
        <v>818</v>
      </c>
      <c r="F39" s="46">
        <v>47</v>
      </c>
      <c r="G39" s="46"/>
      <c r="H39" s="14">
        <f>IF(Assessment_Sheet[[#This Row],[NAME ]]="","",ROUND((G39/60*40),0))</f>
        <v>0</v>
      </c>
      <c r="I39" s="15">
        <f t="shared" si="0"/>
        <v>47</v>
      </c>
      <c r="J39" s="16" t="str">
        <f>IF(B39="","",IF(OR(F39="",G39=""),"IC",VLOOKUP(I39,Scale[],2,1)))</f>
        <v>IC</v>
      </c>
    </row>
    <row r="40" spans="1:10" x14ac:dyDescent="0.35">
      <c r="A40" s="34">
        <v>34</v>
      </c>
      <c r="B40" s="35" t="s">
        <v>456</v>
      </c>
      <c r="C40" s="34" t="s">
        <v>65</v>
      </c>
      <c r="D40" s="34" t="s">
        <v>817</v>
      </c>
      <c r="E40" s="34" t="s">
        <v>818</v>
      </c>
      <c r="F40" s="46">
        <v>46</v>
      </c>
      <c r="G40" s="46"/>
      <c r="H40" s="14">
        <f>IF(Assessment_Sheet[[#This Row],[NAME ]]="","",ROUND((G40/60*40),0))</f>
        <v>0</v>
      </c>
      <c r="I40" s="15">
        <f t="shared" si="0"/>
        <v>46</v>
      </c>
      <c r="J40" s="16" t="str">
        <f>IF(B40="","",IF(OR(F40="",G40=""),"IC",VLOOKUP(I40,Scale[],2,1)))</f>
        <v>IC</v>
      </c>
    </row>
    <row r="41" spans="1:10" x14ac:dyDescent="0.35">
      <c r="A41" s="34">
        <v>35</v>
      </c>
      <c r="B41" s="35" t="s">
        <v>457</v>
      </c>
      <c r="C41" s="34" t="s">
        <v>66</v>
      </c>
      <c r="D41" s="34" t="s">
        <v>817</v>
      </c>
      <c r="E41" s="34" t="s">
        <v>818</v>
      </c>
      <c r="F41" s="46"/>
      <c r="G41" s="46"/>
      <c r="H41" s="14">
        <f>IF(Assessment_Sheet[[#This Row],[NAME ]]="","",ROUND((G41/60*40),0))</f>
        <v>0</v>
      </c>
      <c r="I41" s="15">
        <f t="shared" si="0"/>
        <v>0</v>
      </c>
      <c r="J41" s="16" t="str">
        <f>IF(B41="","",IF(OR(F41="",G41=""),"IC",VLOOKUP(I41,Scale[],2,1)))</f>
        <v>IC</v>
      </c>
    </row>
    <row r="42" spans="1:10" x14ac:dyDescent="0.35">
      <c r="A42" s="34">
        <v>36</v>
      </c>
      <c r="B42" s="35" t="s">
        <v>458</v>
      </c>
      <c r="C42" s="34" t="s">
        <v>67</v>
      </c>
      <c r="D42" s="34" t="s">
        <v>817</v>
      </c>
      <c r="E42" s="34" t="s">
        <v>818</v>
      </c>
      <c r="F42" s="46">
        <v>52</v>
      </c>
      <c r="G42" s="46"/>
      <c r="H42" s="14">
        <f>IF(Assessment_Sheet[[#This Row],[NAME ]]="","",ROUND((G42/60*40),0))</f>
        <v>0</v>
      </c>
      <c r="I42" s="15">
        <f t="shared" si="0"/>
        <v>52</v>
      </c>
      <c r="J42" s="16" t="str">
        <f>IF(B42="","",IF(OR(F42="",G42=""),"IC",VLOOKUP(I42,Scale[],2,1)))</f>
        <v>IC</v>
      </c>
    </row>
    <row r="43" spans="1:10" x14ac:dyDescent="0.35">
      <c r="A43" s="34">
        <v>37</v>
      </c>
      <c r="B43" s="35" t="s">
        <v>459</v>
      </c>
      <c r="C43" s="34" t="s">
        <v>68</v>
      </c>
      <c r="D43" s="34" t="s">
        <v>817</v>
      </c>
      <c r="E43" s="34" t="s">
        <v>818</v>
      </c>
      <c r="F43" s="46">
        <v>51</v>
      </c>
      <c r="G43" s="46"/>
      <c r="H43" s="14">
        <f>IF(Assessment_Sheet[[#This Row],[NAME ]]="","",ROUND((G43/60*40),0))</f>
        <v>0</v>
      </c>
      <c r="I43" s="15">
        <f t="shared" si="0"/>
        <v>51</v>
      </c>
      <c r="J43" s="16" t="str">
        <f>IF(B43="","",IF(OR(F43="",G43=""),"IC",VLOOKUP(I43,Scale[],2,1)))</f>
        <v>IC</v>
      </c>
    </row>
    <row r="44" spans="1:10" x14ac:dyDescent="0.35">
      <c r="A44" s="34">
        <v>38</v>
      </c>
      <c r="B44" s="35" t="s">
        <v>460</v>
      </c>
      <c r="C44" s="34" t="s">
        <v>69</v>
      </c>
      <c r="D44" s="34" t="s">
        <v>817</v>
      </c>
      <c r="E44" s="34" t="s">
        <v>818</v>
      </c>
      <c r="F44" s="46">
        <v>51</v>
      </c>
      <c r="G44" s="46"/>
      <c r="H44" s="14">
        <f>IF(Assessment_Sheet[[#This Row],[NAME ]]="","",ROUND((G44/60*40),0))</f>
        <v>0</v>
      </c>
      <c r="I44" s="15">
        <f t="shared" si="0"/>
        <v>51</v>
      </c>
      <c r="J44" s="16" t="str">
        <f>IF(B44="","",IF(OR(F44="",G44=""),"IC",VLOOKUP(I44,Scale[],2,1)))</f>
        <v>IC</v>
      </c>
    </row>
    <row r="45" spans="1:10" x14ac:dyDescent="0.35">
      <c r="A45" s="34">
        <v>39</v>
      </c>
      <c r="B45" s="35" t="s">
        <v>461</v>
      </c>
      <c r="C45" s="34" t="s">
        <v>70</v>
      </c>
      <c r="D45" s="34" t="s">
        <v>817</v>
      </c>
      <c r="E45" s="34" t="s">
        <v>818</v>
      </c>
      <c r="F45" s="46">
        <v>56</v>
      </c>
      <c r="G45" s="46"/>
      <c r="H45" s="14">
        <f>IF(Assessment_Sheet[[#This Row],[NAME ]]="","",ROUND((G45/60*40),0))</f>
        <v>0</v>
      </c>
      <c r="I45" s="15">
        <f t="shared" si="0"/>
        <v>56</v>
      </c>
      <c r="J45" s="16" t="str">
        <f>IF(B45="","",IF(OR(F45="",G45=""),"IC",VLOOKUP(I45,Scale[],2,1)))</f>
        <v>IC</v>
      </c>
    </row>
    <row r="46" spans="1:10" x14ac:dyDescent="0.35">
      <c r="A46" s="34">
        <v>40</v>
      </c>
      <c r="B46" s="35" t="s">
        <v>462</v>
      </c>
      <c r="C46" s="34" t="s">
        <v>71</v>
      </c>
      <c r="D46" s="34" t="s">
        <v>817</v>
      </c>
      <c r="E46" s="34" t="s">
        <v>818</v>
      </c>
      <c r="F46" s="46">
        <v>54</v>
      </c>
      <c r="G46" s="46"/>
      <c r="H46" s="14">
        <f>IF(Assessment_Sheet[[#This Row],[NAME ]]="","",ROUND((G46/60*40),0))</f>
        <v>0</v>
      </c>
      <c r="I46" s="15">
        <f t="shared" si="0"/>
        <v>54</v>
      </c>
      <c r="J46" s="16" t="str">
        <f>IF(B46="","",IF(OR(F46="",G46=""),"IC",VLOOKUP(I46,Scale[],2,1)))</f>
        <v>IC</v>
      </c>
    </row>
    <row r="47" spans="1:10" x14ac:dyDescent="0.35">
      <c r="A47" s="34">
        <v>41</v>
      </c>
      <c r="B47" s="35" t="s">
        <v>463</v>
      </c>
      <c r="C47" s="34" t="s">
        <v>72</v>
      </c>
      <c r="D47" s="34" t="s">
        <v>817</v>
      </c>
      <c r="E47" s="34" t="s">
        <v>818</v>
      </c>
      <c r="F47" s="46">
        <v>48</v>
      </c>
      <c r="G47" s="46"/>
      <c r="H47" s="14">
        <f>IF(Assessment_Sheet[[#This Row],[NAME ]]="","",ROUND((G47/60*40),0))</f>
        <v>0</v>
      </c>
      <c r="I47" s="15">
        <f t="shared" si="0"/>
        <v>48</v>
      </c>
      <c r="J47" s="16" t="str">
        <f>IF(B47="","",IF(OR(F47="",G47=""),"IC",VLOOKUP(I47,Scale[],2,1)))</f>
        <v>IC</v>
      </c>
    </row>
    <row r="48" spans="1:10" x14ac:dyDescent="0.35">
      <c r="A48" s="34">
        <v>42</v>
      </c>
      <c r="B48" s="35" t="s">
        <v>464</v>
      </c>
      <c r="C48" s="34" t="s">
        <v>73</v>
      </c>
      <c r="D48" s="34" t="s">
        <v>817</v>
      </c>
      <c r="E48" s="34" t="s">
        <v>818</v>
      </c>
      <c r="F48" s="46"/>
      <c r="G48" s="46"/>
      <c r="H48" s="14">
        <f>IF(Assessment_Sheet[[#This Row],[NAME ]]="","",ROUND((G48/60*40),0))</f>
        <v>0</v>
      </c>
      <c r="I48" s="15">
        <f t="shared" si="0"/>
        <v>0</v>
      </c>
      <c r="J48" s="16" t="str">
        <f>IF(B48="","",IF(OR(F48="",G48=""),"IC",VLOOKUP(I48,Scale[],2,1)))</f>
        <v>IC</v>
      </c>
    </row>
    <row r="49" spans="1:10" x14ac:dyDescent="0.35">
      <c r="A49" s="34">
        <v>43</v>
      </c>
      <c r="B49" s="35" t="s">
        <v>465</v>
      </c>
      <c r="C49" s="34" t="s">
        <v>74</v>
      </c>
      <c r="D49" s="34" t="s">
        <v>817</v>
      </c>
      <c r="E49" s="34" t="s">
        <v>818</v>
      </c>
      <c r="F49" s="46">
        <v>47</v>
      </c>
      <c r="G49" s="46"/>
      <c r="H49" s="14">
        <f>IF(Assessment_Sheet[[#This Row],[NAME ]]="","",ROUND((G49/60*40),0))</f>
        <v>0</v>
      </c>
      <c r="I49" s="15">
        <f t="shared" si="0"/>
        <v>47</v>
      </c>
      <c r="J49" s="16" t="str">
        <f>IF(B49="","",IF(OR(F49="",G49=""),"IC",VLOOKUP(I49,Scale[],2,1)))</f>
        <v>IC</v>
      </c>
    </row>
    <row r="50" spans="1:10" x14ac:dyDescent="0.35">
      <c r="A50" s="34">
        <v>44</v>
      </c>
      <c r="B50" s="35" t="s">
        <v>466</v>
      </c>
      <c r="C50" s="34" t="s">
        <v>75</v>
      </c>
      <c r="D50" s="34" t="s">
        <v>817</v>
      </c>
      <c r="E50" s="34" t="s">
        <v>818</v>
      </c>
      <c r="F50" s="46">
        <v>54</v>
      </c>
      <c r="G50" s="46"/>
      <c r="H50" s="14">
        <f>IF(Assessment_Sheet[[#This Row],[NAME ]]="","",ROUND((G50/60*40),0))</f>
        <v>0</v>
      </c>
      <c r="I50" s="15">
        <f t="shared" si="0"/>
        <v>54</v>
      </c>
      <c r="J50" s="16" t="str">
        <f>IF(B50="","",IF(OR(F50="",G50=""),"IC",VLOOKUP(I50,Scale[],2,1)))</f>
        <v>IC</v>
      </c>
    </row>
    <row r="51" spans="1:10" x14ac:dyDescent="0.35">
      <c r="A51" s="34">
        <v>45</v>
      </c>
      <c r="B51" s="35" t="s">
        <v>467</v>
      </c>
      <c r="C51" s="34" t="s">
        <v>76</v>
      </c>
      <c r="D51" s="34" t="s">
        <v>817</v>
      </c>
      <c r="E51" s="34" t="s">
        <v>818</v>
      </c>
      <c r="F51" s="46">
        <v>54</v>
      </c>
      <c r="G51" s="46"/>
      <c r="H51" s="14">
        <f>IF(Assessment_Sheet[[#This Row],[NAME ]]="","",ROUND((G51/60*40),0))</f>
        <v>0</v>
      </c>
      <c r="I51" s="15">
        <f t="shared" si="0"/>
        <v>54</v>
      </c>
      <c r="J51" s="16" t="str">
        <f>IF(B51="","",IF(OR(F51="",G51=""),"IC",VLOOKUP(I51,Scale[],2,1)))</f>
        <v>IC</v>
      </c>
    </row>
    <row r="52" spans="1:10" x14ac:dyDescent="0.35">
      <c r="A52" s="34">
        <v>46</v>
      </c>
      <c r="B52" s="35" t="s">
        <v>468</v>
      </c>
      <c r="C52" s="34" t="s">
        <v>77</v>
      </c>
      <c r="D52" s="34" t="s">
        <v>817</v>
      </c>
      <c r="E52" s="34" t="s">
        <v>818</v>
      </c>
      <c r="F52" s="46">
        <v>55</v>
      </c>
      <c r="G52" s="46"/>
      <c r="H52" s="14">
        <f>IF(Assessment_Sheet[[#This Row],[NAME ]]="","",ROUND((G52/60*40),0))</f>
        <v>0</v>
      </c>
      <c r="I52" s="15">
        <f t="shared" si="0"/>
        <v>55</v>
      </c>
      <c r="J52" s="16" t="str">
        <f>IF(B52="","",IF(OR(F52="",G52=""),"IC",VLOOKUP(I52,Scale[],2,1)))</f>
        <v>IC</v>
      </c>
    </row>
    <row r="53" spans="1:10" x14ac:dyDescent="0.35">
      <c r="A53" s="34">
        <v>47</v>
      </c>
      <c r="B53" s="35" t="s">
        <v>469</v>
      </c>
      <c r="C53" s="34" t="s">
        <v>78</v>
      </c>
      <c r="D53" s="34" t="s">
        <v>817</v>
      </c>
      <c r="E53" s="34" t="s">
        <v>818</v>
      </c>
      <c r="F53" s="46">
        <v>55</v>
      </c>
      <c r="G53" s="46"/>
      <c r="H53" s="14">
        <f>IF(Assessment_Sheet[[#This Row],[NAME ]]="","",ROUND((G53/60*40),0))</f>
        <v>0</v>
      </c>
      <c r="I53" s="15">
        <f t="shared" si="0"/>
        <v>55</v>
      </c>
      <c r="J53" s="16" t="str">
        <f>IF(B53="","",IF(OR(F53="",G53=""),"IC",VLOOKUP(I53,Scale[],2,1)))</f>
        <v>IC</v>
      </c>
    </row>
    <row r="54" spans="1:10" x14ac:dyDescent="0.35">
      <c r="A54" s="34">
        <v>48</v>
      </c>
      <c r="B54" s="35" t="s">
        <v>470</v>
      </c>
      <c r="C54" s="34" t="s">
        <v>79</v>
      </c>
      <c r="D54" s="34" t="s">
        <v>817</v>
      </c>
      <c r="E54" s="34" t="s">
        <v>818</v>
      </c>
      <c r="F54" s="46"/>
      <c r="G54" s="46"/>
      <c r="H54" s="14">
        <f>IF(Assessment_Sheet[[#This Row],[NAME ]]="","",ROUND((G54/60*40),0))</f>
        <v>0</v>
      </c>
      <c r="I54" s="15">
        <f t="shared" si="0"/>
        <v>0</v>
      </c>
      <c r="J54" s="16" t="str">
        <f>IF(B54="","",IF(OR(F54="",G54=""),"IC",VLOOKUP(I54,Scale[],2,1)))</f>
        <v>IC</v>
      </c>
    </row>
    <row r="55" spans="1:10" x14ac:dyDescent="0.35">
      <c r="A55" s="34">
        <v>49</v>
      </c>
      <c r="B55" s="35" t="s">
        <v>471</v>
      </c>
      <c r="C55" s="34" t="s">
        <v>80</v>
      </c>
      <c r="D55" s="34" t="s">
        <v>817</v>
      </c>
      <c r="E55" s="34" t="s">
        <v>818</v>
      </c>
      <c r="F55" s="46">
        <v>56</v>
      </c>
      <c r="G55" s="46"/>
      <c r="H55" s="14">
        <f>IF(Assessment_Sheet[[#This Row],[NAME ]]="","",ROUND((G55/60*40),0))</f>
        <v>0</v>
      </c>
      <c r="I55" s="15">
        <f t="shared" si="0"/>
        <v>56</v>
      </c>
      <c r="J55" s="16" t="str">
        <f>IF(B55="","",IF(OR(F55="",G55=""),"IC",VLOOKUP(I55,Scale[],2,1)))</f>
        <v>IC</v>
      </c>
    </row>
    <row r="56" spans="1:10" x14ac:dyDescent="0.35">
      <c r="A56" s="34">
        <v>50</v>
      </c>
      <c r="B56" s="35" t="s">
        <v>472</v>
      </c>
      <c r="C56" s="34" t="s">
        <v>81</v>
      </c>
      <c r="D56" s="34" t="s">
        <v>817</v>
      </c>
      <c r="E56" s="34" t="s">
        <v>818</v>
      </c>
      <c r="F56" s="46">
        <v>50</v>
      </c>
      <c r="G56" s="46"/>
      <c r="H56" s="14">
        <f>IF(Assessment_Sheet[[#This Row],[NAME ]]="","",ROUND((G56/60*40),0))</f>
        <v>0</v>
      </c>
      <c r="I56" s="15">
        <f t="shared" si="0"/>
        <v>50</v>
      </c>
      <c r="J56" s="16" t="str">
        <f>IF(B56="","",IF(OR(F56="",G56=""),"IC",VLOOKUP(I56,Scale[],2,1)))</f>
        <v>IC</v>
      </c>
    </row>
    <row r="57" spans="1:10" x14ac:dyDescent="0.35">
      <c r="A57" s="34">
        <v>51</v>
      </c>
      <c r="B57" s="35" t="s">
        <v>473</v>
      </c>
      <c r="C57" s="34" t="s">
        <v>82</v>
      </c>
      <c r="D57" s="34" t="s">
        <v>817</v>
      </c>
      <c r="E57" s="34" t="s">
        <v>818</v>
      </c>
      <c r="F57" s="46">
        <v>56</v>
      </c>
      <c r="G57" s="46"/>
      <c r="H57" s="14">
        <f>IF(Assessment_Sheet[[#This Row],[NAME ]]="","",ROUND((G57/60*40),0))</f>
        <v>0</v>
      </c>
      <c r="I57" s="15">
        <f t="shared" si="0"/>
        <v>56</v>
      </c>
      <c r="J57" s="16" t="str">
        <f>IF(B57="","",IF(OR(F57="",G57=""),"IC",VLOOKUP(I57,Scale[],2,1)))</f>
        <v>IC</v>
      </c>
    </row>
    <row r="58" spans="1:10" x14ac:dyDescent="0.35">
      <c r="A58" s="34">
        <v>52</v>
      </c>
      <c r="B58" s="35" t="s">
        <v>474</v>
      </c>
      <c r="C58" s="34" t="s">
        <v>83</v>
      </c>
      <c r="D58" s="34" t="s">
        <v>817</v>
      </c>
      <c r="E58" s="34" t="s">
        <v>818</v>
      </c>
      <c r="F58" s="46">
        <v>47</v>
      </c>
      <c r="G58" s="46"/>
      <c r="H58" s="14">
        <f>IF(Assessment_Sheet[[#This Row],[NAME ]]="","",ROUND((G58/60*40),0))</f>
        <v>0</v>
      </c>
      <c r="I58" s="15">
        <f t="shared" si="0"/>
        <v>47</v>
      </c>
      <c r="J58" s="16" t="str">
        <f>IF(B58="","",IF(OR(F58="",G58=""),"IC",VLOOKUP(I58,Scale[],2,1)))</f>
        <v>IC</v>
      </c>
    </row>
    <row r="59" spans="1:10" x14ac:dyDescent="0.35">
      <c r="A59" s="34">
        <v>53</v>
      </c>
      <c r="B59" s="35" t="s">
        <v>475</v>
      </c>
      <c r="C59" s="34" t="s">
        <v>84</v>
      </c>
      <c r="D59" s="34" t="s">
        <v>817</v>
      </c>
      <c r="E59" s="34" t="s">
        <v>818</v>
      </c>
      <c r="F59" s="46">
        <v>50</v>
      </c>
      <c r="G59" s="46"/>
      <c r="H59" s="14">
        <f>IF(Assessment_Sheet[[#This Row],[NAME ]]="","",ROUND((G59/60*40),0))</f>
        <v>0</v>
      </c>
      <c r="I59" s="15">
        <f t="shared" si="0"/>
        <v>50</v>
      </c>
      <c r="J59" s="16" t="str">
        <f>IF(B59="","",IF(OR(F59="",G59=""),"IC",VLOOKUP(I59,Scale[],2,1)))</f>
        <v>IC</v>
      </c>
    </row>
    <row r="60" spans="1:10" x14ac:dyDescent="0.35">
      <c r="A60" s="34">
        <v>54</v>
      </c>
      <c r="B60" s="35" t="s">
        <v>476</v>
      </c>
      <c r="C60" s="34" t="s">
        <v>85</v>
      </c>
      <c r="D60" s="34" t="s">
        <v>817</v>
      </c>
      <c r="E60" s="34" t="s">
        <v>818</v>
      </c>
      <c r="F60" s="46">
        <v>54</v>
      </c>
      <c r="G60" s="46"/>
      <c r="H60" s="14">
        <f>IF(Assessment_Sheet[[#This Row],[NAME ]]="","",ROUND((G60/60*40),0))</f>
        <v>0</v>
      </c>
      <c r="I60" s="15">
        <f t="shared" si="0"/>
        <v>54</v>
      </c>
      <c r="J60" s="16" t="str">
        <f>IF(B60="","",IF(OR(F60="",G60=""),"IC",VLOOKUP(I60,Scale[],2,1)))</f>
        <v>IC</v>
      </c>
    </row>
    <row r="61" spans="1:10" x14ac:dyDescent="0.35">
      <c r="A61" s="34">
        <v>55</v>
      </c>
      <c r="B61" s="35" t="s">
        <v>477</v>
      </c>
      <c r="C61" s="34" t="s">
        <v>86</v>
      </c>
      <c r="D61" s="34" t="s">
        <v>817</v>
      </c>
      <c r="E61" s="34" t="s">
        <v>818</v>
      </c>
      <c r="F61" s="46">
        <v>50</v>
      </c>
      <c r="G61" s="46"/>
      <c r="H61" s="14">
        <f>IF(Assessment_Sheet[[#This Row],[NAME ]]="","",ROUND((G61/60*40),0))</f>
        <v>0</v>
      </c>
      <c r="I61" s="15">
        <f t="shared" si="0"/>
        <v>50</v>
      </c>
      <c r="J61" s="16" t="str">
        <f>IF(B61="","",IF(OR(F61="",G61=""),"IC",VLOOKUP(I61,Scale[],2,1)))</f>
        <v>IC</v>
      </c>
    </row>
    <row r="62" spans="1:10" x14ac:dyDescent="0.35">
      <c r="A62" s="34">
        <v>56</v>
      </c>
      <c r="B62" s="35" t="s">
        <v>478</v>
      </c>
      <c r="C62" s="34" t="s">
        <v>87</v>
      </c>
      <c r="D62" s="34" t="s">
        <v>817</v>
      </c>
      <c r="E62" s="34" t="s">
        <v>818</v>
      </c>
      <c r="F62" s="46">
        <v>47</v>
      </c>
      <c r="G62" s="46"/>
      <c r="H62" s="14">
        <f>IF(Assessment_Sheet[[#This Row],[NAME ]]="","",ROUND((G62/60*40),0))</f>
        <v>0</v>
      </c>
      <c r="I62" s="15">
        <f t="shared" si="0"/>
        <v>47</v>
      </c>
      <c r="J62" s="16" t="str">
        <f>IF(B62="","",IF(OR(F62="",G62=""),"IC",VLOOKUP(I62,Scale[],2,1)))</f>
        <v>IC</v>
      </c>
    </row>
    <row r="63" spans="1:10" x14ac:dyDescent="0.35">
      <c r="A63" s="34">
        <v>57</v>
      </c>
      <c r="B63" s="35" t="s">
        <v>479</v>
      </c>
      <c r="C63" s="34" t="s">
        <v>88</v>
      </c>
      <c r="D63" s="34" t="s">
        <v>817</v>
      </c>
      <c r="E63" s="34" t="s">
        <v>818</v>
      </c>
      <c r="F63" s="46"/>
      <c r="G63" s="46"/>
      <c r="H63" s="14">
        <f>IF(Assessment_Sheet[[#This Row],[NAME ]]="","",ROUND((G63/60*40),0))</f>
        <v>0</v>
      </c>
      <c r="I63" s="15">
        <f t="shared" si="0"/>
        <v>0</v>
      </c>
      <c r="J63" s="16" t="str">
        <f>IF(B63="","",IF(OR(F63="",G63=""),"IC",VLOOKUP(I63,Scale[],2,1)))</f>
        <v>IC</v>
      </c>
    </row>
    <row r="64" spans="1:10" x14ac:dyDescent="0.35">
      <c r="A64" s="34">
        <v>58</v>
      </c>
      <c r="B64" s="35" t="s">
        <v>480</v>
      </c>
      <c r="C64" s="34" t="s">
        <v>89</v>
      </c>
      <c r="D64" s="34" t="s">
        <v>817</v>
      </c>
      <c r="E64" s="34" t="s">
        <v>818</v>
      </c>
      <c r="F64" s="46">
        <v>55</v>
      </c>
      <c r="G64" s="46"/>
      <c r="H64" s="14">
        <f>IF(Assessment_Sheet[[#This Row],[NAME ]]="","",ROUND((G64/60*40),0))</f>
        <v>0</v>
      </c>
      <c r="I64" s="15">
        <f t="shared" si="0"/>
        <v>55</v>
      </c>
      <c r="J64" s="16" t="str">
        <f>IF(B64="","",IF(OR(F64="",G64=""),"IC",VLOOKUP(I64,Scale[],2,1)))</f>
        <v>IC</v>
      </c>
    </row>
    <row r="65" spans="1:10" x14ac:dyDescent="0.35">
      <c r="A65" s="34">
        <v>59</v>
      </c>
      <c r="B65" s="35" t="s">
        <v>481</v>
      </c>
      <c r="C65" s="34" t="s">
        <v>90</v>
      </c>
      <c r="D65" s="34" t="s">
        <v>817</v>
      </c>
      <c r="E65" s="34" t="s">
        <v>818</v>
      </c>
      <c r="F65" s="46">
        <v>55</v>
      </c>
      <c r="G65" s="46"/>
      <c r="H65" s="14">
        <f>IF(Assessment_Sheet[[#This Row],[NAME ]]="","",ROUND((G65/60*40),0))</f>
        <v>0</v>
      </c>
      <c r="I65" s="15">
        <f t="shared" si="0"/>
        <v>55</v>
      </c>
      <c r="J65" s="16" t="str">
        <f>IF(B65="","",IF(OR(F65="",G65=""),"IC",VLOOKUP(I65,Scale[],2,1)))</f>
        <v>IC</v>
      </c>
    </row>
    <row r="66" spans="1:10" x14ac:dyDescent="0.35">
      <c r="A66" s="34">
        <v>60</v>
      </c>
      <c r="B66" s="35" t="s">
        <v>482</v>
      </c>
      <c r="C66" s="34" t="s">
        <v>91</v>
      </c>
      <c r="D66" s="34" t="s">
        <v>817</v>
      </c>
      <c r="E66" s="34" t="s">
        <v>818</v>
      </c>
      <c r="F66" s="46">
        <v>54</v>
      </c>
      <c r="G66" s="46"/>
      <c r="H66" s="14">
        <f>IF(Assessment_Sheet[[#This Row],[NAME ]]="","",ROUND((G66/60*40),0))</f>
        <v>0</v>
      </c>
      <c r="I66" s="15">
        <f t="shared" si="0"/>
        <v>54</v>
      </c>
      <c r="J66" s="16" t="str">
        <f>IF(B66="","",IF(OR(F66="",G66=""),"IC",VLOOKUP(I66,Scale[],2,1)))</f>
        <v>IC</v>
      </c>
    </row>
    <row r="67" spans="1:10" x14ac:dyDescent="0.35">
      <c r="A67" s="34">
        <v>61</v>
      </c>
      <c r="B67" s="35" t="s">
        <v>483</v>
      </c>
      <c r="C67" s="34" t="s">
        <v>92</v>
      </c>
      <c r="D67" s="34" t="s">
        <v>817</v>
      </c>
      <c r="E67" s="34" t="s">
        <v>818</v>
      </c>
      <c r="F67" s="46">
        <v>53</v>
      </c>
      <c r="G67" s="46"/>
      <c r="H67" s="14">
        <f>IF(Assessment_Sheet[[#This Row],[NAME ]]="","",ROUND((G67/60*40),0))</f>
        <v>0</v>
      </c>
      <c r="I67" s="15">
        <f t="shared" si="0"/>
        <v>53</v>
      </c>
      <c r="J67" s="16" t="str">
        <f>IF(B67="","",IF(OR(F67="",G67=""),"IC",VLOOKUP(I67,Scale[],2,1)))</f>
        <v>IC</v>
      </c>
    </row>
    <row r="68" spans="1:10" x14ac:dyDescent="0.35">
      <c r="A68" s="34">
        <v>62</v>
      </c>
      <c r="B68" s="35" t="s">
        <v>484</v>
      </c>
      <c r="C68" s="34" t="s">
        <v>93</v>
      </c>
      <c r="D68" s="34" t="s">
        <v>817</v>
      </c>
      <c r="E68" s="34" t="s">
        <v>818</v>
      </c>
      <c r="F68" s="46">
        <v>51</v>
      </c>
      <c r="G68" s="46"/>
      <c r="H68" s="14">
        <f>IF(Assessment_Sheet[[#This Row],[NAME ]]="","",ROUND((G68/60*40),0))</f>
        <v>0</v>
      </c>
      <c r="I68" s="15">
        <f t="shared" si="0"/>
        <v>51</v>
      </c>
      <c r="J68" s="16" t="str">
        <f>IF(B68="","",IF(OR(F68="",G68=""),"IC",VLOOKUP(I68,Scale[],2,1)))</f>
        <v>IC</v>
      </c>
    </row>
    <row r="69" spans="1:10" x14ac:dyDescent="0.35">
      <c r="A69" s="34">
        <v>63</v>
      </c>
      <c r="B69" s="35" t="s">
        <v>485</v>
      </c>
      <c r="C69" s="34" t="s">
        <v>94</v>
      </c>
      <c r="D69" s="34" t="s">
        <v>817</v>
      </c>
      <c r="E69" s="34" t="s">
        <v>818</v>
      </c>
      <c r="F69" s="46">
        <v>55</v>
      </c>
      <c r="G69" s="46"/>
      <c r="H69" s="14">
        <f>IF(Assessment_Sheet[[#This Row],[NAME ]]="","",ROUND((G69/60*40),0))</f>
        <v>0</v>
      </c>
      <c r="I69" s="15">
        <f t="shared" si="0"/>
        <v>55</v>
      </c>
      <c r="J69" s="16" t="str">
        <f>IF(B69="","",IF(OR(F69="",G69=""),"IC",VLOOKUP(I69,Scale[],2,1)))</f>
        <v>IC</v>
      </c>
    </row>
    <row r="70" spans="1:10" x14ac:dyDescent="0.35">
      <c r="A70" s="34">
        <v>64</v>
      </c>
      <c r="B70" s="35" t="s">
        <v>486</v>
      </c>
      <c r="C70" s="34" t="s">
        <v>95</v>
      </c>
      <c r="D70" s="34" t="s">
        <v>817</v>
      </c>
      <c r="E70" s="34" t="s">
        <v>818</v>
      </c>
      <c r="F70" s="46">
        <v>54</v>
      </c>
      <c r="G70" s="46"/>
      <c r="H70" s="14">
        <f>IF(Assessment_Sheet[[#This Row],[NAME ]]="","",ROUND((G70/60*40),0))</f>
        <v>0</v>
      </c>
      <c r="I70" s="15">
        <f t="shared" si="0"/>
        <v>54</v>
      </c>
      <c r="J70" s="16" t="str">
        <f>IF(B70="","",IF(OR(F70="",G70=""),"IC",VLOOKUP(I70,Scale[],2,1)))</f>
        <v>IC</v>
      </c>
    </row>
    <row r="71" spans="1:10" x14ac:dyDescent="0.35">
      <c r="A71" s="34">
        <v>65</v>
      </c>
      <c r="B71" s="35" t="s">
        <v>487</v>
      </c>
      <c r="C71" s="34" t="s">
        <v>96</v>
      </c>
      <c r="D71" s="34" t="s">
        <v>817</v>
      </c>
      <c r="E71" s="34" t="s">
        <v>818</v>
      </c>
      <c r="F71" s="46">
        <v>55</v>
      </c>
      <c r="G71" s="46"/>
      <c r="H71" s="14">
        <f>IF(Assessment_Sheet[[#This Row],[NAME ]]="","",ROUND((G71/60*40),0))</f>
        <v>0</v>
      </c>
      <c r="I71" s="15">
        <f t="shared" si="0"/>
        <v>55</v>
      </c>
      <c r="J71" s="16" t="str">
        <f>IF(B71="","",IF(OR(F71="",G71=""),"IC",VLOOKUP(I71,Scale[],2,1)))</f>
        <v>IC</v>
      </c>
    </row>
    <row r="72" spans="1:10" x14ac:dyDescent="0.35">
      <c r="A72" s="34">
        <v>66</v>
      </c>
      <c r="B72" s="35" t="s">
        <v>488</v>
      </c>
      <c r="C72" s="34" t="s">
        <v>97</v>
      </c>
      <c r="D72" s="34" t="s">
        <v>817</v>
      </c>
      <c r="E72" s="34" t="s">
        <v>818</v>
      </c>
      <c r="F72" s="46">
        <v>52</v>
      </c>
      <c r="G72" s="46"/>
      <c r="H72" s="14">
        <f>IF(Assessment_Sheet[[#This Row],[NAME ]]="","",ROUND((G72/60*40),0))</f>
        <v>0</v>
      </c>
      <c r="I72" s="15">
        <f t="shared" ref="I72:I135" si="2">IFERROR(ROUND((F72+H72),0),"")</f>
        <v>52</v>
      </c>
      <c r="J72" s="16" t="str">
        <f>IF(B72="","",IF(OR(F72="",G72=""),"IC",VLOOKUP(I72,Scale[],2,1)))</f>
        <v>IC</v>
      </c>
    </row>
    <row r="73" spans="1:10" x14ac:dyDescent="0.35">
      <c r="A73" s="34">
        <v>67</v>
      </c>
      <c r="B73" s="35" t="s">
        <v>489</v>
      </c>
      <c r="C73" s="34" t="s">
        <v>98</v>
      </c>
      <c r="D73" s="34" t="s">
        <v>817</v>
      </c>
      <c r="E73" s="34" t="s">
        <v>818</v>
      </c>
      <c r="F73" s="46">
        <v>45</v>
      </c>
      <c r="G73" s="46"/>
      <c r="H73" s="14">
        <f>IF(Assessment_Sheet[[#This Row],[NAME ]]="","",ROUND((G73/60*40),0))</f>
        <v>0</v>
      </c>
      <c r="I73" s="15">
        <f t="shared" si="2"/>
        <v>45</v>
      </c>
      <c r="J73" s="16" t="str">
        <f>IF(B73="","",IF(OR(F73="",G73=""),"IC",VLOOKUP(I73,Scale[],2,1)))</f>
        <v>IC</v>
      </c>
    </row>
    <row r="74" spans="1:10" x14ac:dyDescent="0.35">
      <c r="A74" s="34">
        <v>68</v>
      </c>
      <c r="B74" s="35" t="s">
        <v>490</v>
      </c>
      <c r="C74" s="34" t="s">
        <v>99</v>
      </c>
      <c r="D74" s="34" t="s">
        <v>817</v>
      </c>
      <c r="E74" s="34" t="s">
        <v>818</v>
      </c>
      <c r="F74" s="46">
        <v>53</v>
      </c>
      <c r="G74" s="46"/>
      <c r="H74" s="14">
        <f>IF(Assessment_Sheet[[#This Row],[NAME ]]="","",ROUND((G74/60*40),0))</f>
        <v>0</v>
      </c>
      <c r="I74" s="15">
        <f t="shared" si="2"/>
        <v>53</v>
      </c>
      <c r="J74" s="16" t="str">
        <f>IF(B74="","",IF(OR(F74="",G74=""),"IC",VLOOKUP(I74,Scale[],2,1)))</f>
        <v>IC</v>
      </c>
    </row>
    <row r="75" spans="1:10" x14ac:dyDescent="0.35">
      <c r="A75" s="34">
        <v>69</v>
      </c>
      <c r="B75" s="35" t="s">
        <v>491</v>
      </c>
      <c r="C75" s="34" t="s">
        <v>100</v>
      </c>
      <c r="D75" s="34" t="s">
        <v>817</v>
      </c>
      <c r="E75" s="34" t="s">
        <v>818</v>
      </c>
      <c r="F75" s="46">
        <v>53</v>
      </c>
      <c r="G75" s="46"/>
      <c r="H75" s="14">
        <f>IF(Assessment_Sheet[[#This Row],[NAME ]]="","",ROUND((G75/60*40),0))</f>
        <v>0</v>
      </c>
      <c r="I75" s="15">
        <f t="shared" si="2"/>
        <v>53</v>
      </c>
      <c r="J75" s="16" t="str">
        <f>IF(B75="","",IF(OR(F75="",G75=""),"IC",VLOOKUP(I75,Scale[],2,1)))</f>
        <v>IC</v>
      </c>
    </row>
    <row r="76" spans="1:10" x14ac:dyDescent="0.35">
      <c r="A76" s="34">
        <v>70</v>
      </c>
      <c r="B76" s="35" t="s">
        <v>492</v>
      </c>
      <c r="C76" s="34" t="s">
        <v>101</v>
      </c>
      <c r="D76" s="34" t="s">
        <v>817</v>
      </c>
      <c r="E76" s="34" t="s">
        <v>818</v>
      </c>
      <c r="F76" s="46">
        <v>54</v>
      </c>
      <c r="G76" s="46"/>
      <c r="H76" s="14">
        <f>IF(Assessment_Sheet[[#This Row],[NAME ]]="","",ROUND((G76/60*40),0))</f>
        <v>0</v>
      </c>
      <c r="I76" s="15">
        <f t="shared" si="2"/>
        <v>54</v>
      </c>
      <c r="J76" s="16" t="str">
        <f>IF(B76="","",IF(OR(F76="",G76=""),"IC",VLOOKUP(I76,Scale[],2,1)))</f>
        <v>IC</v>
      </c>
    </row>
    <row r="77" spans="1:10" x14ac:dyDescent="0.35">
      <c r="A77" s="34">
        <v>71</v>
      </c>
      <c r="B77" s="35" t="s">
        <v>493</v>
      </c>
      <c r="C77" s="34" t="s">
        <v>102</v>
      </c>
      <c r="D77" s="34" t="s">
        <v>817</v>
      </c>
      <c r="E77" s="34" t="s">
        <v>818</v>
      </c>
      <c r="F77" s="46">
        <v>47</v>
      </c>
      <c r="G77" s="46"/>
      <c r="H77" s="14">
        <f>IF(Assessment_Sheet[[#This Row],[NAME ]]="","",ROUND((G77/60*40),0))</f>
        <v>0</v>
      </c>
      <c r="I77" s="15">
        <f t="shared" si="2"/>
        <v>47</v>
      </c>
      <c r="J77" s="16" t="str">
        <f>IF(B77="","",IF(OR(F77="",G77=""),"IC",VLOOKUP(I77,Scale[],2,1)))</f>
        <v>IC</v>
      </c>
    </row>
    <row r="78" spans="1:10" x14ac:dyDescent="0.35">
      <c r="A78" s="34">
        <v>72</v>
      </c>
      <c r="B78" s="35" t="s">
        <v>494</v>
      </c>
      <c r="C78" s="34" t="s">
        <v>103</v>
      </c>
      <c r="D78" s="34" t="s">
        <v>817</v>
      </c>
      <c r="E78" s="34" t="s">
        <v>818</v>
      </c>
      <c r="F78" s="46"/>
      <c r="G78" s="46"/>
      <c r="H78" s="14">
        <f>IF(Assessment_Sheet[[#This Row],[NAME ]]="","",ROUND((G78/60*40),0))</f>
        <v>0</v>
      </c>
      <c r="I78" s="15">
        <f t="shared" si="2"/>
        <v>0</v>
      </c>
      <c r="J78" s="16" t="str">
        <f>IF(B78="","",IF(OR(F78="",G78=""),"IC",VLOOKUP(I78,Scale[],2,1)))</f>
        <v>IC</v>
      </c>
    </row>
    <row r="79" spans="1:10" x14ac:dyDescent="0.35">
      <c r="A79" s="34">
        <v>73</v>
      </c>
      <c r="B79" s="35" t="s">
        <v>495</v>
      </c>
      <c r="C79" s="34" t="s">
        <v>104</v>
      </c>
      <c r="D79" s="34" t="s">
        <v>817</v>
      </c>
      <c r="E79" s="34" t="s">
        <v>818</v>
      </c>
      <c r="F79" s="46"/>
      <c r="G79" s="46"/>
      <c r="H79" s="14">
        <f>IF(Assessment_Sheet[[#This Row],[NAME ]]="","",ROUND((G79/60*40),0))</f>
        <v>0</v>
      </c>
      <c r="I79" s="15">
        <f t="shared" si="2"/>
        <v>0</v>
      </c>
      <c r="J79" s="16" t="str">
        <f>IF(B79="","",IF(OR(F79="",G79=""),"IC",VLOOKUP(I79,Scale[],2,1)))</f>
        <v>IC</v>
      </c>
    </row>
    <row r="80" spans="1:10" x14ac:dyDescent="0.35">
      <c r="A80" s="34">
        <v>74</v>
      </c>
      <c r="B80" s="35" t="s">
        <v>496</v>
      </c>
      <c r="C80" s="34" t="s">
        <v>105</v>
      </c>
      <c r="D80" s="34" t="s">
        <v>817</v>
      </c>
      <c r="E80" s="34" t="s">
        <v>818</v>
      </c>
      <c r="F80" s="46">
        <v>54</v>
      </c>
      <c r="G80" s="46"/>
      <c r="H80" s="14">
        <f>IF(Assessment_Sheet[[#This Row],[NAME ]]="","",ROUND((G80/60*40),0))</f>
        <v>0</v>
      </c>
      <c r="I80" s="15">
        <f t="shared" si="2"/>
        <v>54</v>
      </c>
      <c r="J80" s="16" t="str">
        <f>IF(B80="","",IF(OR(F80="",G80=""),"IC",VLOOKUP(I80,Scale[],2,1)))</f>
        <v>IC</v>
      </c>
    </row>
    <row r="81" spans="1:10" x14ac:dyDescent="0.35">
      <c r="A81" s="34">
        <v>75</v>
      </c>
      <c r="B81" s="35" t="s">
        <v>497</v>
      </c>
      <c r="C81" s="34" t="s">
        <v>106</v>
      </c>
      <c r="D81" s="34" t="s">
        <v>817</v>
      </c>
      <c r="E81" s="34" t="s">
        <v>818</v>
      </c>
      <c r="F81" s="46">
        <v>53</v>
      </c>
      <c r="G81" s="46"/>
      <c r="H81" s="14">
        <f>IF(Assessment_Sheet[[#This Row],[NAME ]]="","",ROUND((G81/60*40),0))</f>
        <v>0</v>
      </c>
      <c r="I81" s="15">
        <f t="shared" si="2"/>
        <v>53</v>
      </c>
      <c r="J81" s="16" t="str">
        <f>IF(B81="","",IF(OR(F81="",G81=""),"IC",VLOOKUP(I81,Scale[],2,1)))</f>
        <v>IC</v>
      </c>
    </row>
    <row r="82" spans="1:10" x14ac:dyDescent="0.35">
      <c r="A82" s="34">
        <v>76</v>
      </c>
      <c r="B82" s="35" t="s">
        <v>498</v>
      </c>
      <c r="C82" s="34" t="s">
        <v>107</v>
      </c>
      <c r="D82" s="34" t="s">
        <v>817</v>
      </c>
      <c r="E82" s="34" t="s">
        <v>818</v>
      </c>
      <c r="F82" s="46">
        <v>51</v>
      </c>
      <c r="G82" s="46"/>
      <c r="H82" s="14">
        <f>IF(Assessment_Sheet[[#This Row],[NAME ]]="","",ROUND((G82/60*40),0))</f>
        <v>0</v>
      </c>
      <c r="I82" s="15">
        <f t="shared" si="2"/>
        <v>51</v>
      </c>
      <c r="J82" s="16" t="str">
        <f>IF(B82="","",IF(OR(F82="",G82=""),"IC",VLOOKUP(I82,Scale[],2,1)))</f>
        <v>IC</v>
      </c>
    </row>
    <row r="83" spans="1:10" x14ac:dyDescent="0.35">
      <c r="A83" s="34">
        <v>77</v>
      </c>
      <c r="B83" s="35" t="s">
        <v>499</v>
      </c>
      <c r="C83" s="34" t="s">
        <v>108</v>
      </c>
      <c r="D83" s="34" t="s">
        <v>817</v>
      </c>
      <c r="E83" s="34" t="s">
        <v>818</v>
      </c>
      <c r="F83" s="46">
        <v>53</v>
      </c>
      <c r="G83" s="46"/>
      <c r="H83" s="14">
        <f>IF(Assessment_Sheet[[#This Row],[NAME ]]="","",ROUND((G83/60*40),0))</f>
        <v>0</v>
      </c>
      <c r="I83" s="15">
        <f t="shared" si="2"/>
        <v>53</v>
      </c>
      <c r="J83" s="16" t="str">
        <f>IF(B83="","",IF(OR(F83="",G83=""),"IC",VLOOKUP(I83,Scale[],2,1)))</f>
        <v>IC</v>
      </c>
    </row>
    <row r="84" spans="1:10" x14ac:dyDescent="0.35">
      <c r="A84" s="34">
        <v>78</v>
      </c>
      <c r="B84" s="35" t="s">
        <v>500</v>
      </c>
      <c r="C84" s="34" t="s">
        <v>109</v>
      </c>
      <c r="D84" s="34" t="s">
        <v>817</v>
      </c>
      <c r="E84" s="34" t="s">
        <v>818</v>
      </c>
      <c r="F84" s="46">
        <v>56</v>
      </c>
      <c r="G84" s="46"/>
      <c r="H84" s="14">
        <f>IF(Assessment_Sheet[[#This Row],[NAME ]]="","",ROUND((G84/60*40),0))</f>
        <v>0</v>
      </c>
      <c r="I84" s="15">
        <f t="shared" si="2"/>
        <v>56</v>
      </c>
      <c r="J84" s="16" t="str">
        <f>IF(B84="","",IF(OR(F84="",G84=""),"IC",VLOOKUP(I84,Scale[],2,1)))</f>
        <v>IC</v>
      </c>
    </row>
    <row r="85" spans="1:10" x14ac:dyDescent="0.35">
      <c r="A85" s="34">
        <v>79</v>
      </c>
      <c r="B85" s="35" t="s">
        <v>501</v>
      </c>
      <c r="C85" s="34" t="s">
        <v>110</v>
      </c>
      <c r="D85" s="34" t="s">
        <v>817</v>
      </c>
      <c r="E85" s="34" t="s">
        <v>818</v>
      </c>
      <c r="F85" s="46">
        <v>54</v>
      </c>
      <c r="G85" s="46"/>
      <c r="H85" s="14">
        <f>IF(Assessment_Sheet[[#This Row],[NAME ]]="","",ROUND((G85/60*40),0))</f>
        <v>0</v>
      </c>
      <c r="I85" s="15">
        <f t="shared" si="2"/>
        <v>54</v>
      </c>
      <c r="J85" s="16" t="str">
        <f>IF(B85="","",IF(OR(F85="",G85=""),"IC",VLOOKUP(I85,Scale[],2,1)))</f>
        <v>IC</v>
      </c>
    </row>
    <row r="86" spans="1:10" x14ac:dyDescent="0.35">
      <c r="A86" s="34">
        <v>80</v>
      </c>
      <c r="B86" s="35" t="s">
        <v>502</v>
      </c>
      <c r="C86" s="34" t="s">
        <v>111</v>
      </c>
      <c r="D86" s="34" t="s">
        <v>817</v>
      </c>
      <c r="E86" s="34" t="s">
        <v>818</v>
      </c>
      <c r="F86" s="46">
        <v>42</v>
      </c>
      <c r="G86" s="46"/>
      <c r="H86" s="14">
        <f>IF(Assessment_Sheet[[#This Row],[NAME ]]="","",ROUND((G86/60*40),0))</f>
        <v>0</v>
      </c>
      <c r="I86" s="15">
        <f t="shared" si="2"/>
        <v>42</v>
      </c>
      <c r="J86" s="16" t="str">
        <f>IF(B86="","",IF(OR(F86="",G86=""),"IC",VLOOKUP(I86,Scale[],2,1)))</f>
        <v>IC</v>
      </c>
    </row>
    <row r="87" spans="1:10" x14ac:dyDescent="0.35">
      <c r="A87" s="34">
        <v>81</v>
      </c>
      <c r="B87" s="35" t="s">
        <v>503</v>
      </c>
      <c r="C87" s="34" t="s">
        <v>112</v>
      </c>
      <c r="D87" s="34" t="s">
        <v>817</v>
      </c>
      <c r="E87" s="34" t="s">
        <v>818</v>
      </c>
      <c r="F87" s="46">
        <v>51</v>
      </c>
      <c r="G87" s="46"/>
      <c r="H87" s="14">
        <f>IF(Assessment_Sheet[[#This Row],[NAME ]]="","",ROUND((G87/60*40),0))</f>
        <v>0</v>
      </c>
      <c r="I87" s="15">
        <f t="shared" si="2"/>
        <v>51</v>
      </c>
      <c r="J87" s="16" t="str">
        <f>IF(B87="","",IF(OR(F87="",G87=""),"IC",VLOOKUP(I87,Scale[],2,1)))</f>
        <v>IC</v>
      </c>
    </row>
    <row r="88" spans="1:10" x14ac:dyDescent="0.35">
      <c r="A88" s="34">
        <v>82</v>
      </c>
      <c r="B88" s="35" t="s">
        <v>504</v>
      </c>
      <c r="C88" s="34" t="s">
        <v>113</v>
      </c>
      <c r="D88" s="34" t="s">
        <v>817</v>
      </c>
      <c r="E88" s="34" t="s">
        <v>818</v>
      </c>
      <c r="F88" s="46">
        <v>50</v>
      </c>
      <c r="G88" s="46"/>
      <c r="H88" s="14">
        <f>IF(Assessment_Sheet[[#This Row],[NAME ]]="","",ROUND((G88/60*40),0))</f>
        <v>0</v>
      </c>
      <c r="I88" s="15">
        <f t="shared" si="2"/>
        <v>50</v>
      </c>
      <c r="J88" s="16" t="str">
        <f>IF(B88="","",IF(OR(F88="",G88=""),"IC",VLOOKUP(I88,Scale[],2,1)))</f>
        <v>IC</v>
      </c>
    </row>
    <row r="89" spans="1:10" x14ac:dyDescent="0.35">
      <c r="A89" s="34">
        <v>83</v>
      </c>
      <c r="B89" s="35" t="s">
        <v>505</v>
      </c>
      <c r="C89" s="34" t="s">
        <v>114</v>
      </c>
      <c r="D89" s="34" t="s">
        <v>817</v>
      </c>
      <c r="E89" s="34" t="s">
        <v>818</v>
      </c>
      <c r="F89" s="46">
        <v>52</v>
      </c>
      <c r="G89" s="46"/>
      <c r="H89" s="14">
        <f>IF(Assessment_Sheet[[#This Row],[NAME ]]="","",ROUND((G89/60*40),0))</f>
        <v>0</v>
      </c>
      <c r="I89" s="15">
        <f t="shared" si="2"/>
        <v>52</v>
      </c>
      <c r="J89" s="16" t="str">
        <f>IF(B89="","",IF(OR(F89="",G89=""),"IC",VLOOKUP(I89,Scale[],2,1)))</f>
        <v>IC</v>
      </c>
    </row>
    <row r="90" spans="1:10" x14ac:dyDescent="0.35">
      <c r="A90" s="34">
        <v>84</v>
      </c>
      <c r="B90" s="35" t="s">
        <v>506</v>
      </c>
      <c r="C90" s="34" t="s">
        <v>115</v>
      </c>
      <c r="D90" s="34" t="s">
        <v>817</v>
      </c>
      <c r="E90" s="34" t="s">
        <v>818</v>
      </c>
      <c r="F90" s="46">
        <v>48</v>
      </c>
      <c r="G90" s="46"/>
      <c r="H90" s="14">
        <f>IF(Assessment_Sheet[[#This Row],[NAME ]]="","",ROUND((G90/60*40),0))</f>
        <v>0</v>
      </c>
      <c r="I90" s="15">
        <f t="shared" si="2"/>
        <v>48</v>
      </c>
      <c r="J90" s="16" t="str">
        <f>IF(B90="","",IF(OR(F90="",G90=""),"IC",VLOOKUP(I90,Scale[],2,1)))</f>
        <v>IC</v>
      </c>
    </row>
    <row r="91" spans="1:10" x14ac:dyDescent="0.35">
      <c r="A91" s="34">
        <v>85</v>
      </c>
      <c r="B91" s="35" t="s">
        <v>507</v>
      </c>
      <c r="C91" s="34" t="s">
        <v>116</v>
      </c>
      <c r="D91" s="34" t="s">
        <v>817</v>
      </c>
      <c r="E91" s="34" t="s">
        <v>818</v>
      </c>
      <c r="F91" s="46">
        <v>51</v>
      </c>
      <c r="G91" s="46"/>
      <c r="H91" s="14">
        <f>IF(Assessment_Sheet[[#This Row],[NAME ]]="","",ROUND((G91/60*40),0))</f>
        <v>0</v>
      </c>
      <c r="I91" s="15">
        <f t="shared" si="2"/>
        <v>51</v>
      </c>
      <c r="J91" s="16" t="str">
        <f>IF(B91="","",IF(OR(F91="",G91=""),"IC",VLOOKUP(I91,Scale[],2,1)))</f>
        <v>IC</v>
      </c>
    </row>
    <row r="92" spans="1:10" x14ac:dyDescent="0.35">
      <c r="A92" s="34">
        <v>86</v>
      </c>
      <c r="B92" s="35" t="s">
        <v>508</v>
      </c>
      <c r="C92" s="34" t="s">
        <v>117</v>
      </c>
      <c r="D92" s="34" t="s">
        <v>817</v>
      </c>
      <c r="E92" s="34" t="s">
        <v>818</v>
      </c>
      <c r="F92" s="46"/>
      <c r="G92" s="46"/>
      <c r="H92" s="14">
        <f>IF(Assessment_Sheet[[#This Row],[NAME ]]="","",ROUND((G92/60*40),0))</f>
        <v>0</v>
      </c>
      <c r="I92" s="15">
        <f t="shared" si="2"/>
        <v>0</v>
      </c>
      <c r="J92" s="16" t="str">
        <f>IF(B92="","",IF(OR(F92="",G92=""),"IC",VLOOKUP(I92,Scale[],2,1)))</f>
        <v>IC</v>
      </c>
    </row>
    <row r="93" spans="1:10" x14ac:dyDescent="0.35">
      <c r="A93" s="34">
        <v>87</v>
      </c>
      <c r="B93" s="35" t="s">
        <v>509</v>
      </c>
      <c r="C93" s="34" t="s">
        <v>118</v>
      </c>
      <c r="D93" s="34" t="s">
        <v>817</v>
      </c>
      <c r="E93" s="34" t="s">
        <v>818</v>
      </c>
      <c r="F93" s="46">
        <v>53</v>
      </c>
      <c r="G93" s="46"/>
      <c r="H93" s="14">
        <f>IF(Assessment_Sheet[[#This Row],[NAME ]]="","",ROUND((G93/60*40),0))</f>
        <v>0</v>
      </c>
      <c r="I93" s="15">
        <f t="shared" si="2"/>
        <v>53</v>
      </c>
      <c r="J93" s="16" t="str">
        <f>IF(B93="","",IF(OR(F93="",G93=""),"IC",VLOOKUP(I93,Scale[],2,1)))</f>
        <v>IC</v>
      </c>
    </row>
    <row r="94" spans="1:10" x14ac:dyDescent="0.35">
      <c r="A94" s="34">
        <v>88</v>
      </c>
      <c r="B94" s="35" t="s">
        <v>510</v>
      </c>
      <c r="C94" s="34" t="s">
        <v>119</v>
      </c>
      <c r="D94" s="34" t="s">
        <v>817</v>
      </c>
      <c r="E94" s="34" t="s">
        <v>818</v>
      </c>
      <c r="F94" s="46">
        <v>45</v>
      </c>
      <c r="G94" s="46"/>
      <c r="H94" s="14">
        <f>IF(Assessment_Sheet[[#This Row],[NAME ]]="","",ROUND((G94/60*40),0))</f>
        <v>0</v>
      </c>
      <c r="I94" s="15">
        <f t="shared" si="2"/>
        <v>45</v>
      </c>
      <c r="J94" s="16" t="str">
        <f>IF(B94="","",IF(OR(F94="",G94=""),"IC",VLOOKUP(I94,Scale[],2,1)))</f>
        <v>IC</v>
      </c>
    </row>
    <row r="95" spans="1:10" x14ac:dyDescent="0.35">
      <c r="A95" s="34">
        <v>89</v>
      </c>
      <c r="B95" s="35" t="s">
        <v>511</v>
      </c>
      <c r="C95" s="34" t="s">
        <v>120</v>
      </c>
      <c r="D95" s="34" t="s">
        <v>817</v>
      </c>
      <c r="E95" s="34" t="s">
        <v>818</v>
      </c>
      <c r="F95" s="46">
        <v>50</v>
      </c>
      <c r="G95" s="46"/>
      <c r="H95" s="14">
        <f>IF(Assessment_Sheet[[#This Row],[NAME ]]="","",ROUND((G95/60*40),0))</f>
        <v>0</v>
      </c>
      <c r="I95" s="15">
        <f t="shared" si="2"/>
        <v>50</v>
      </c>
      <c r="J95" s="16" t="str">
        <f>IF(B95="","",IF(OR(F95="",G95=""),"IC",VLOOKUP(I95,Scale[],2,1)))</f>
        <v>IC</v>
      </c>
    </row>
    <row r="96" spans="1:10" x14ac:dyDescent="0.35">
      <c r="A96" s="34">
        <v>90</v>
      </c>
      <c r="B96" s="35" t="s">
        <v>512</v>
      </c>
      <c r="C96" s="34" t="s">
        <v>121</v>
      </c>
      <c r="D96" s="34" t="s">
        <v>817</v>
      </c>
      <c r="E96" s="34" t="s">
        <v>818</v>
      </c>
      <c r="F96" s="46">
        <v>55</v>
      </c>
      <c r="G96" s="46"/>
      <c r="H96" s="14">
        <f>IF(Assessment_Sheet[[#This Row],[NAME ]]="","",ROUND((G96/60*40),0))</f>
        <v>0</v>
      </c>
      <c r="I96" s="15">
        <f t="shared" si="2"/>
        <v>55</v>
      </c>
      <c r="J96" s="16" t="str">
        <f>IF(B96="","",IF(OR(F96="",G96=""),"IC",VLOOKUP(I96,Scale[],2,1)))</f>
        <v>IC</v>
      </c>
    </row>
    <row r="97" spans="1:10" x14ac:dyDescent="0.35">
      <c r="A97" s="34">
        <v>91</v>
      </c>
      <c r="B97" s="35" t="s">
        <v>513</v>
      </c>
      <c r="C97" s="34" t="s">
        <v>122</v>
      </c>
      <c r="D97" s="34" t="s">
        <v>817</v>
      </c>
      <c r="E97" s="34" t="s">
        <v>818</v>
      </c>
      <c r="F97" s="46"/>
      <c r="G97" s="46"/>
      <c r="H97" s="14">
        <f>IF(Assessment_Sheet[[#This Row],[NAME ]]="","",ROUND((G97/60*40),0))</f>
        <v>0</v>
      </c>
      <c r="I97" s="15">
        <f t="shared" si="2"/>
        <v>0</v>
      </c>
      <c r="J97" s="16" t="str">
        <f>IF(B97="","",IF(OR(F97="",G97=""),"IC",VLOOKUP(I97,Scale[],2,1)))</f>
        <v>IC</v>
      </c>
    </row>
    <row r="98" spans="1:10" x14ac:dyDescent="0.35">
      <c r="A98" s="34">
        <v>92</v>
      </c>
      <c r="B98" s="35" t="s">
        <v>514</v>
      </c>
      <c r="C98" s="34" t="s">
        <v>123</v>
      </c>
      <c r="D98" s="34" t="s">
        <v>817</v>
      </c>
      <c r="E98" s="34" t="s">
        <v>818</v>
      </c>
      <c r="F98" s="46"/>
      <c r="G98" s="46"/>
      <c r="H98" s="14">
        <f>IF(Assessment_Sheet[[#This Row],[NAME ]]="","",ROUND((G98/60*40),0))</f>
        <v>0</v>
      </c>
      <c r="I98" s="15">
        <f t="shared" si="2"/>
        <v>0</v>
      </c>
      <c r="J98" s="16" t="str">
        <f>IF(B98="","",IF(OR(F98="",G98=""),"IC",VLOOKUP(I98,Scale[],2,1)))</f>
        <v>IC</v>
      </c>
    </row>
    <row r="99" spans="1:10" x14ac:dyDescent="0.35">
      <c r="A99" s="34">
        <v>93</v>
      </c>
      <c r="B99" s="35" t="s">
        <v>515</v>
      </c>
      <c r="C99" s="34" t="s">
        <v>124</v>
      </c>
      <c r="D99" s="34" t="s">
        <v>817</v>
      </c>
      <c r="E99" s="34" t="s">
        <v>818</v>
      </c>
      <c r="F99" s="46">
        <v>55</v>
      </c>
      <c r="G99" s="46"/>
      <c r="H99" s="14">
        <f>IF(Assessment_Sheet[[#This Row],[NAME ]]="","",ROUND((G99/60*40),0))</f>
        <v>0</v>
      </c>
      <c r="I99" s="15">
        <f t="shared" si="2"/>
        <v>55</v>
      </c>
      <c r="J99" s="16" t="str">
        <f>IF(B99="","",IF(OR(F99="",G99=""),"IC",VLOOKUP(I99,Scale[],2,1)))</f>
        <v>IC</v>
      </c>
    </row>
    <row r="100" spans="1:10" x14ac:dyDescent="0.35">
      <c r="A100" s="34">
        <v>94</v>
      </c>
      <c r="B100" s="35" t="s">
        <v>516</v>
      </c>
      <c r="C100" s="34" t="s">
        <v>125</v>
      </c>
      <c r="D100" s="34" t="s">
        <v>817</v>
      </c>
      <c r="E100" s="34" t="s">
        <v>818</v>
      </c>
      <c r="F100" s="46">
        <v>54</v>
      </c>
      <c r="G100" s="46"/>
      <c r="H100" s="14">
        <f>IF(Assessment_Sheet[[#This Row],[NAME ]]="","",ROUND((G100/60*40),0))</f>
        <v>0</v>
      </c>
      <c r="I100" s="15">
        <f t="shared" si="2"/>
        <v>54</v>
      </c>
      <c r="J100" s="16" t="str">
        <f>IF(B100="","",IF(OR(F100="",G100=""),"IC",VLOOKUP(I100,Scale[],2,1)))</f>
        <v>IC</v>
      </c>
    </row>
    <row r="101" spans="1:10" x14ac:dyDescent="0.35">
      <c r="A101" s="34">
        <v>95</v>
      </c>
      <c r="B101" s="35" t="s">
        <v>517</v>
      </c>
      <c r="C101" s="34" t="s">
        <v>126</v>
      </c>
      <c r="D101" s="34" t="s">
        <v>817</v>
      </c>
      <c r="E101" s="34" t="s">
        <v>818</v>
      </c>
      <c r="F101" s="46">
        <v>44</v>
      </c>
      <c r="G101" s="46"/>
      <c r="H101" s="14">
        <f>IF(Assessment_Sheet[[#This Row],[NAME ]]="","",ROUND((G101/60*40),0))</f>
        <v>0</v>
      </c>
      <c r="I101" s="15">
        <f t="shared" si="2"/>
        <v>44</v>
      </c>
      <c r="J101" s="16" t="str">
        <f>IF(B101="","",IF(OR(F101="",G101=""),"IC",VLOOKUP(I101,Scale[],2,1)))</f>
        <v>IC</v>
      </c>
    </row>
    <row r="102" spans="1:10" x14ac:dyDescent="0.35">
      <c r="A102" s="34">
        <v>96</v>
      </c>
      <c r="B102" s="35" t="s">
        <v>518</v>
      </c>
      <c r="C102" s="34" t="s">
        <v>127</v>
      </c>
      <c r="D102" s="34" t="s">
        <v>817</v>
      </c>
      <c r="E102" s="34" t="s">
        <v>818</v>
      </c>
      <c r="F102" s="46">
        <v>45</v>
      </c>
      <c r="G102" s="46"/>
      <c r="H102" s="14">
        <f>IF(Assessment_Sheet[[#This Row],[NAME ]]="","",ROUND((G102/60*40),0))</f>
        <v>0</v>
      </c>
      <c r="I102" s="15">
        <f t="shared" si="2"/>
        <v>45</v>
      </c>
      <c r="J102" s="16" t="str">
        <f>IF(B102="","",IF(OR(F102="",G102=""),"IC",VLOOKUP(I102,Scale[],2,1)))</f>
        <v>IC</v>
      </c>
    </row>
    <row r="103" spans="1:10" x14ac:dyDescent="0.35">
      <c r="A103" s="34">
        <v>97</v>
      </c>
      <c r="B103" s="35" t="s">
        <v>519</v>
      </c>
      <c r="C103" s="34" t="s">
        <v>128</v>
      </c>
      <c r="D103" s="34" t="s">
        <v>817</v>
      </c>
      <c r="E103" s="34" t="s">
        <v>818</v>
      </c>
      <c r="F103" s="46">
        <v>53</v>
      </c>
      <c r="G103" s="46"/>
      <c r="H103" s="14">
        <f>IF(Assessment_Sheet[[#This Row],[NAME ]]="","",ROUND((G103/60*40),0))</f>
        <v>0</v>
      </c>
      <c r="I103" s="15">
        <f t="shared" si="2"/>
        <v>53</v>
      </c>
      <c r="J103" s="16" t="str">
        <f>IF(B103="","",IF(OR(F103="",G103=""),"IC",VLOOKUP(I103,Scale[],2,1)))</f>
        <v>IC</v>
      </c>
    </row>
    <row r="104" spans="1:10" x14ac:dyDescent="0.35">
      <c r="A104" s="34">
        <v>98</v>
      </c>
      <c r="B104" s="35" t="s">
        <v>520</v>
      </c>
      <c r="C104" s="34" t="s">
        <v>129</v>
      </c>
      <c r="D104" s="34" t="s">
        <v>817</v>
      </c>
      <c r="E104" s="34" t="s">
        <v>818</v>
      </c>
      <c r="F104" s="46">
        <v>55</v>
      </c>
      <c r="G104" s="46"/>
      <c r="H104" s="14">
        <f>IF(Assessment_Sheet[[#This Row],[NAME ]]="","",ROUND((G104/60*40),0))</f>
        <v>0</v>
      </c>
      <c r="I104" s="15">
        <f t="shared" si="2"/>
        <v>55</v>
      </c>
      <c r="J104" s="16" t="str">
        <f>IF(B104="","",IF(OR(F104="",G104=""),"IC",VLOOKUP(I104,Scale[],2,1)))</f>
        <v>IC</v>
      </c>
    </row>
    <row r="105" spans="1:10" x14ac:dyDescent="0.35">
      <c r="A105" s="34">
        <v>99</v>
      </c>
      <c r="B105" s="35" t="s">
        <v>521</v>
      </c>
      <c r="C105" s="34" t="s">
        <v>130</v>
      </c>
      <c r="D105" s="34" t="s">
        <v>817</v>
      </c>
      <c r="E105" s="34" t="s">
        <v>818</v>
      </c>
      <c r="F105" s="46">
        <v>54</v>
      </c>
      <c r="G105" s="46"/>
      <c r="H105" s="14">
        <f>IF(Assessment_Sheet[[#This Row],[NAME ]]="","",ROUND((G105/60*40),0))</f>
        <v>0</v>
      </c>
      <c r="I105" s="15">
        <f t="shared" si="2"/>
        <v>54</v>
      </c>
      <c r="J105" s="16" t="str">
        <f>IF(B105="","",IF(OR(F105="",G105=""),"IC",VLOOKUP(I105,Scale[],2,1)))</f>
        <v>IC</v>
      </c>
    </row>
    <row r="106" spans="1:10" x14ac:dyDescent="0.35">
      <c r="A106" s="34">
        <v>100</v>
      </c>
      <c r="B106" s="35" t="s">
        <v>522</v>
      </c>
      <c r="C106" s="34" t="s">
        <v>131</v>
      </c>
      <c r="D106" s="34" t="s">
        <v>817</v>
      </c>
      <c r="E106" s="34" t="s">
        <v>818</v>
      </c>
      <c r="F106" s="46">
        <v>55</v>
      </c>
      <c r="G106" s="46"/>
      <c r="H106" s="14">
        <f>IF(Assessment_Sheet[[#This Row],[NAME ]]="","",ROUND((G106/60*40),0))</f>
        <v>0</v>
      </c>
      <c r="I106" s="15">
        <f t="shared" si="2"/>
        <v>55</v>
      </c>
      <c r="J106" s="16" t="str">
        <f>IF(B106="","",IF(OR(F106="",G106=""),"IC",VLOOKUP(I106,Scale[],2,1)))</f>
        <v>IC</v>
      </c>
    </row>
    <row r="107" spans="1:10" x14ac:dyDescent="0.35">
      <c r="A107" s="34">
        <v>101</v>
      </c>
      <c r="B107" s="35" t="s">
        <v>523</v>
      </c>
      <c r="C107" s="34" t="s">
        <v>132</v>
      </c>
      <c r="D107" s="34" t="s">
        <v>817</v>
      </c>
      <c r="E107" s="34" t="s">
        <v>818</v>
      </c>
      <c r="F107" s="46">
        <v>50</v>
      </c>
      <c r="G107" s="46"/>
      <c r="H107" s="14">
        <f>IF(Assessment_Sheet[[#This Row],[NAME ]]="","",ROUND((G107/60*40),0))</f>
        <v>0</v>
      </c>
      <c r="I107" s="15">
        <f t="shared" si="2"/>
        <v>50</v>
      </c>
      <c r="J107" s="16" t="str">
        <f>IF(B107="","",IF(OR(F107="",G107=""),"IC",VLOOKUP(I107,Scale[],2,1)))</f>
        <v>IC</v>
      </c>
    </row>
    <row r="108" spans="1:10" x14ac:dyDescent="0.35">
      <c r="A108" s="34">
        <v>102</v>
      </c>
      <c r="B108" s="35" t="s">
        <v>524</v>
      </c>
      <c r="C108" s="34" t="s">
        <v>133</v>
      </c>
      <c r="D108" s="34" t="s">
        <v>817</v>
      </c>
      <c r="E108" s="34" t="s">
        <v>818</v>
      </c>
      <c r="F108" s="46">
        <v>56</v>
      </c>
      <c r="G108" s="46"/>
      <c r="H108" s="14">
        <f>IF(Assessment_Sheet[[#This Row],[NAME ]]="","",ROUND((G108/60*40),0))</f>
        <v>0</v>
      </c>
      <c r="I108" s="15">
        <f t="shared" si="2"/>
        <v>56</v>
      </c>
      <c r="J108" s="16" t="str">
        <f>IF(B108="","",IF(OR(F108="",G108=""),"IC",VLOOKUP(I108,Scale[],2,1)))</f>
        <v>IC</v>
      </c>
    </row>
    <row r="109" spans="1:10" x14ac:dyDescent="0.35">
      <c r="A109" s="34">
        <v>103</v>
      </c>
      <c r="B109" s="35" t="s">
        <v>525</v>
      </c>
      <c r="C109" s="34" t="s">
        <v>134</v>
      </c>
      <c r="D109" s="34" t="s">
        <v>817</v>
      </c>
      <c r="E109" s="34" t="s">
        <v>818</v>
      </c>
      <c r="F109" s="46">
        <v>51</v>
      </c>
      <c r="G109" s="46"/>
      <c r="H109" s="14">
        <f>IF(Assessment_Sheet[[#This Row],[NAME ]]="","",ROUND((G109/60*40),0))</f>
        <v>0</v>
      </c>
      <c r="I109" s="15">
        <f t="shared" si="2"/>
        <v>51</v>
      </c>
      <c r="J109" s="16" t="str">
        <f>IF(B109="","",IF(OR(F109="",G109=""),"IC",VLOOKUP(I109,Scale[],2,1)))</f>
        <v>IC</v>
      </c>
    </row>
    <row r="110" spans="1:10" x14ac:dyDescent="0.35">
      <c r="A110" s="34">
        <v>104</v>
      </c>
      <c r="B110" s="35" t="s">
        <v>526</v>
      </c>
      <c r="C110" s="34" t="s">
        <v>135</v>
      </c>
      <c r="D110" s="34" t="s">
        <v>817</v>
      </c>
      <c r="E110" s="34" t="s">
        <v>818</v>
      </c>
      <c r="F110" s="46">
        <v>54</v>
      </c>
      <c r="G110" s="46"/>
      <c r="H110" s="14">
        <f>IF(Assessment_Sheet[[#This Row],[NAME ]]="","",ROUND((G110/60*40),0))</f>
        <v>0</v>
      </c>
      <c r="I110" s="15">
        <f t="shared" si="2"/>
        <v>54</v>
      </c>
      <c r="J110" s="16" t="str">
        <f>IF(B110="","",IF(OR(F110="",G110=""),"IC",VLOOKUP(I110,Scale[],2,1)))</f>
        <v>IC</v>
      </c>
    </row>
    <row r="111" spans="1:10" x14ac:dyDescent="0.35">
      <c r="A111" s="34">
        <v>105</v>
      </c>
      <c r="B111" s="35" t="s">
        <v>527</v>
      </c>
      <c r="C111" s="34" t="s">
        <v>136</v>
      </c>
      <c r="D111" s="34" t="s">
        <v>817</v>
      </c>
      <c r="E111" s="34" t="s">
        <v>818</v>
      </c>
      <c r="F111" s="46">
        <v>55</v>
      </c>
      <c r="G111" s="46"/>
      <c r="H111" s="14">
        <f>IF(Assessment_Sheet[[#This Row],[NAME ]]="","",ROUND((G111/60*40),0))</f>
        <v>0</v>
      </c>
      <c r="I111" s="15">
        <f t="shared" si="2"/>
        <v>55</v>
      </c>
      <c r="J111" s="16" t="str">
        <f>IF(B111="","",IF(OR(F111="",G111=""),"IC",VLOOKUP(I111,Scale[],2,1)))</f>
        <v>IC</v>
      </c>
    </row>
    <row r="112" spans="1:10" x14ac:dyDescent="0.35">
      <c r="A112" s="34">
        <v>106</v>
      </c>
      <c r="B112" s="35" t="s">
        <v>528</v>
      </c>
      <c r="C112" s="34" t="s">
        <v>137</v>
      </c>
      <c r="D112" s="34" t="s">
        <v>817</v>
      </c>
      <c r="E112" s="34" t="s">
        <v>818</v>
      </c>
      <c r="F112" s="46"/>
      <c r="G112" s="46"/>
      <c r="H112" s="14">
        <f>IF(Assessment_Sheet[[#This Row],[NAME ]]="","",ROUND((G112/60*40),0))</f>
        <v>0</v>
      </c>
      <c r="I112" s="15">
        <f t="shared" si="2"/>
        <v>0</v>
      </c>
      <c r="J112" s="16" t="str">
        <f>IF(B112="","",IF(OR(F112="",G112=""),"IC",VLOOKUP(I112,Scale[],2,1)))</f>
        <v>IC</v>
      </c>
    </row>
    <row r="113" spans="1:10" x14ac:dyDescent="0.35">
      <c r="A113" s="34">
        <v>107</v>
      </c>
      <c r="B113" s="35" t="s">
        <v>529</v>
      </c>
      <c r="C113" s="34" t="s">
        <v>138</v>
      </c>
      <c r="D113" s="34" t="s">
        <v>817</v>
      </c>
      <c r="E113" s="34" t="s">
        <v>818</v>
      </c>
      <c r="F113" s="46">
        <v>48</v>
      </c>
      <c r="G113" s="46"/>
      <c r="H113" s="14">
        <f>IF(Assessment_Sheet[[#This Row],[NAME ]]="","",ROUND((G113/60*40),0))</f>
        <v>0</v>
      </c>
      <c r="I113" s="15">
        <f t="shared" si="2"/>
        <v>48</v>
      </c>
      <c r="J113" s="16" t="str">
        <f>IF(B113="","",IF(OR(F113="",G113=""),"IC",VLOOKUP(I113,Scale[],2,1)))</f>
        <v>IC</v>
      </c>
    </row>
    <row r="114" spans="1:10" x14ac:dyDescent="0.35">
      <c r="A114" s="34">
        <v>108</v>
      </c>
      <c r="B114" s="35" t="s">
        <v>31</v>
      </c>
      <c r="C114" s="34" t="s">
        <v>139</v>
      </c>
      <c r="D114" s="34" t="s">
        <v>817</v>
      </c>
      <c r="E114" s="34" t="s">
        <v>818</v>
      </c>
      <c r="F114" s="46">
        <v>55</v>
      </c>
      <c r="G114" s="46"/>
      <c r="H114" s="14">
        <f>IF(Assessment_Sheet[[#This Row],[NAME ]]="","",ROUND((G114/60*40),0))</f>
        <v>0</v>
      </c>
      <c r="I114" s="15">
        <f t="shared" si="2"/>
        <v>55</v>
      </c>
      <c r="J114" s="16" t="str">
        <f>IF(B114="","",IF(OR(F114="",G114=""),"IC",VLOOKUP(I114,Scale[],2,1)))</f>
        <v>IC</v>
      </c>
    </row>
    <row r="115" spans="1:10" x14ac:dyDescent="0.35">
      <c r="A115" s="34">
        <v>109</v>
      </c>
      <c r="B115" s="35" t="s">
        <v>530</v>
      </c>
      <c r="C115" s="34" t="s">
        <v>140</v>
      </c>
      <c r="D115" s="34" t="s">
        <v>817</v>
      </c>
      <c r="E115" s="34" t="s">
        <v>818</v>
      </c>
      <c r="F115" s="46">
        <v>51</v>
      </c>
      <c r="G115" s="46"/>
      <c r="H115" s="14">
        <f>IF(Assessment_Sheet[[#This Row],[NAME ]]="","",ROUND((G115/60*40),0))</f>
        <v>0</v>
      </c>
      <c r="I115" s="15">
        <f t="shared" si="2"/>
        <v>51</v>
      </c>
      <c r="J115" s="16" t="str">
        <f>IF(B115="","",IF(OR(F115="",G115=""),"IC",VLOOKUP(I115,Scale[],2,1)))</f>
        <v>IC</v>
      </c>
    </row>
    <row r="116" spans="1:10" x14ac:dyDescent="0.35">
      <c r="A116" s="34">
        <v>110</v>
      </c>
      <c r="B116" s="35" t="s">
        <v>531</v>
      </c>
      <c r="C116" s="34" t="s">
        <v>141</v>
      </c>
      <c r="D116" s="34" t="s">
        <v>817</v>
      </c>
      <c r="E116" s="34" t="s">
        <v>818</v>
      </c>
      <c r="F116" s="46">
        <v>55</v>
      </c>
      <c r="G116" s="46"/>
      <c r="H116" s="14">
        <f>IF(Assessment_Sheet[[#This Row],[NAME ]]="","",ROUND((G116/60*40),0))</f>
        <v>0</v>
      </c>
      <c r="I116" s="15">
        <f t="shared" si="2"/>
        <v>55</v>
      </c>
      <c r="J116" s="16" t="str">
        <f>IF(B116="","",IF(OR(F116="",G116=""),"IC",VLOOKUP(I116,Scale[],2,1)))</f>
        <v>IC</v>
      </c>
    </row>
    <row r="117" spans="1:10" x14ac:dyDescent="0.35">
      <c r="A117" s="34">
        <v>111</v>
      </c>
      <c r="B117" s="35" t="s">
        <v>532</v>
      </c>
      <c r="C117" s="34" t="s">
        <v>142</v>
      </c>
      <c r="D117" s="34" t="s">
        <v>817</v>
      </c>
      <c r="E117" s="34" t="s">
        <v>818</v>
      </c>
      <c r="F117" s="46">
        <v>51</v>
      </c>
      <c r="G117" s="46"/>
      <c r="H117" s="14">
        <f>IF(Assessment_Sheet[[#This Row],[NAME ]]="","",ROUND((G117/60*40),0))</f>
        <v>0</v>
      </c>
      <c r="I117" s="15">
        <f t="shared" si="2"/>
        <v>51</v>
      </c>
      <c r="J117" s="16" t="str">
        <f>IF(B117="","",IF(OR(F117="",G117=""),"IC",VLOOKUP(I117,Scale[],2,1)))</f>
        <v>IC</v>
      </c>
    </row>
    <row r="118" spans="1:10" x14ac:dyDescent="0.35">
      <c r="A118" s="34">
        <v>112</v>
      </c>
      <c r="B118" s="35" t="s">
        <v>533</v>
      </c>
      <c r="C118" s="34" t="s">
        <v>143</v>
      </c>
      <c r="D118" s="34" t="s">
        <v>817</v>
      </c>
      <c r="E118" s="34" t="s">
        <v>818</v>
      </c>
      <c r="F118" s="46">
        <v>54</v>
      </c>
      <c r="G118" s="46"/>
      <c r="H118" s="14">
        <f>IF(Assessment_Sheet[[#This Row],[NAME ]]="","",ROUND((G118/60*40),0))</f>
        <v>0</v>
      </c>
      <c r="I118" s="15">
        <f t="shared" si="2"/>
        <v>54</v>
      </c>
      <c r="J118" s="16" t="str">
        <f>IF(B118="","",IF(OR(F118="",G118=""),"IC",VLOOKUP(I118,Scale[],2,1)))</f>
        <v>IC</v>
      </c>
    </row>
    <row r="119" spans="1:10" x14ac:dyDescent="0.35">
      <c r="A119" s="34">
        <v>113</v>
      </c>
      <c r="B119" s="35" t="s">
        <v>534</v>
      </c>
      <c r="C119" s="34" t="s">
        <v>144</v>
      </c>
      <c r="D119" s="34" t="s">
        <v>817</v>
      </c>
      <c r="E119" s="34" t="s">
        <v>818</v>
      </c>
      <c r="F119" s="46">
        <v>42</v>
      </c>
      <c r="G119" s="46"/>
      <c r="H119" s="14">
        <f>IF(Assessment_Sheet[[#This Row],[NAME ]]="","",ROUND((G119/60*40),0))</f>
        <v>0</v>
      </c>
      <c r="I119" s="15">
        <f t="shared" si="2"/>
        <v>42</v>
      </c>
      <c r="J119" s="16" t="str">
        <f>IF(B119="","",IF(OR(F119="",G119=""),"IC",VLOOKUP(I119,Scale[],2,1)))</f>
        <v>IC</v>
      </c>
    </row>
    <row r="120" spans="1:10" x14ac:dyDescent="0.35">
      <c r="A120" s="34">
        <v>114</v>
      </c>
      <c r="B120" s="35" t="s">
        <v>535</v>
      </c>
      <c r="C120" s="34" t="s">
        <v>145</v>
      </c>
      <c r="D120" s="34" t="s">
        <v>817</v>
      </c>
      <c r="E120" s="34" t="s">
        <v>818</v>
      </c>
      <c r="F120" s="46">
        <v>44</v>
      </c>
      <c r="G120" s="46"/>
      <c r="H120" s="14">
        <f>IF(Assessment_Sheet[[#This Row],[NAME ]]="","",ROUND((G120/60*40),0))</f>
        <v>0</v>
      </c>
      <c r="I120" s="15">
        <f t="shared" si="2"/>
        <v>44</v>
      </c>
      <c r="J120" s="16" t="str">
        <f>IF(B120="","",IF(OR(F120="",G120=""),"IC",VLOOKUP(I120,Scale[],2,1)))</f>
        <v>IC</v>
      </c>
    </row>
    <row r="121" spans="1:10" x14ac:dyDescent="0.35">
      <c r="A121" s="34">
        <v>115</v>
      </c>
      <c r="B121" s="35" t="s">
        <v>536</v>
      </c>
      <c r="C121" s="34" t="s">
        <v>146</v>
      </c>
      <c r="D121" s="34" t="s">
        <v>817</v>
      </c>
      <c r="E121" s="34" t="s">
        <v>818</v>
      </c>
      <c r="F121" s="46">
        <v>54</v>
      </c>
      <c r="G121" s="46"/>
      <c r="H121" s="14">
        <f>IF(Assessment_Sheet[[#This Row],[NAME ]]="","",ROUND((G121/60*40),0))</f>
        <v>0</v>
      </c>
      <c r="I121" s="15">
        <f t="shared" si="2"/>
        <v>54</v>
      </c>
      <c r="J121" s="16" t="str">
        <f>IF(B121="","",IF(OR(F121="",G121=""),"IC",VLOOKUP(I121,Scale[],2,1)))</f>
        <v>IC</v>
      </c>
    </row>
    <row r="122" spans="1:10" x14ac:dyDescent="0.35">
      <c r="A122" s="34">
        <v>116</v>
      </c>
      <c r="B122" s="35" t="s">
        <v>537</v>
      </c>
      <c r="C122" s="34" t="s">
        <v>147</v>
      </c>
      <c r="D122" s="34" t="s">
        <v>817</v>
      </c>
      <c r="E122" s="34" t="s">
        <v>818</v>
      </c>
      <c r="F122" s="46">
        <v>56</v>
      </c>
      <c r="G122" s="46"/>
      <c r="H122" s="14">
        <f>IF(Assessment_Sheet[[#This Row],[NAME ]]="","",ROUND((G122/60*40),0))</f>
        <v>0</v>
      </c>
      <c r="I122" s="15">
        <f t="shared" si="2"/>
        <v>56</v>
      </c>
      <c r="J122" s="16" t="str">
        <f>IF(B122="","",IF(OR(F122="",G122=""),"IC",VLOOKUP(I122,Scale[],2,1)))</f>
        <v>IC</v>
      </c>
    </row>
    <row r="123" spans="1:10" x14ac:dyDescent="0.35">
      <c r="A123" s="34">
        <v>117</v>
      </c>
      <c r="B123" s="35" t="s">
        <v>538</v>
      </c>
      <c r="C123" s="34" t="s">
        <v>148</v>
      </c>
      <c r="D123" s="34" t="s">
        <v>817</v>
      </c>
      <c r="E123" s="34" t="s">
        <v>818</v>
      </c>
      <c r="F123" s="46">
        <v>49</v>
      </c>
      <c r="G123" s="46"/>
      <c r="H123" s="14">
        <f>IF(Assessment_Sheet[[#This Row],[NAME ]]="","",ROUND((G123/60*40),0))</f>
        <v>0</v>
      </c>
      <c r="I123" s="15">
        <f t="shared" si="2"/>
        <v>49</v>
      </c>
      <c r="J123" s="16" t="str">
        <f>IF(B123="","",IF(OR(F123="",G123=""),"IC",VLOOKUP(I123,Scale[],2,1)))</f>
        <v>IC</v>
      </c>
    </row>
    <row r="124" spans="1:10" x14ac:dyDescent="0.35">
      <c r="A124" s="34">
        <v>118</v>
      </c>
      <c r="B124" s="35" t="s">
        <v>539</v>
      </c>
      <c r="C124" s="34" t="s">
        <v>149</v>
      </c>
      <c r="D124" s="34" t="s">
        <v>817</v>
      </c>
      <c r="E124" s="34" t="s">
        <v>818</v>
      </c>
      <c r="F124" s="46">
        <v>54</v>
      </c>
      <c r="G124" s="46"/>
      <c r="H124" s="14">
        <f>IF(Assessment_Sheet[[#This Row],[NAME ]]="","",ROUND((G124/60*40),0))</f>
        <v>0</v>
      </c>
      <c r="I124" s="15">
        <f t="shared" si="2"/>
        <v>54</v>
      </c>
      <c r="J124" s="16" t="str">
        <f>IF(B124="","",IF(OR(F124="",G124=""),"IC",VLOOKUP(I124,Scale[],2,1)))</f>
        <v>IC</v>
      </c>
    </row>
    <row r="125" spans="1:10" x14ac:dyDescent="0.35">
      <c r="A125" s="34">
        <v>119</v>
      </c>
      <c r="B125" s="35" t="s">
        <v>540</v>
      </c>
      <c r="C125" s="34" t="s">
        <v>150</v>
      </c>
      <c r="D125" s="34" t="s">
        <v>817</v>
      </c>
      <c r="E125" s="34" t="s">
        <v>818</v>
      </c>
      <c r="F125" s="46"/>
      <c r="G125" s="46"/>
      <c r="H125" s="14">
        <f>IF(Assessment_Sheet[[#This Row],[NAME ]]="","",ROUND((G125/60*40),0))</f>
        <v>0</v>
      </c>
      <c r="I125" s="15">
        <f t="shared" si="2"/>
        <v>0</v>
      </c>
      <c r="J125" s="16" t="str">
        <f>IF(B125="","",IF(OR(F125="",G125=""),"IC",VLOOKUP(I125,Scale[],2,1)))</f>
        <v>IC</v>
      </c>
    </row>
    <row r="126" spans="1:10" x14ac:dyDescent="0.35">
      <c r="A126" s="34">
        <v>120</v>
      </c>
      <c r="B126" s="35" t="s">
        <v>541</v>
      </c>
      <c r="C126" s="34" t="s">
        <v>151</v>
      </c>
      <c r="D126" s="34" t="s">
        <v>817</v>
      </c>
      <c r="E126" s="34" t="s">
        <v>818</v>
      </c>
      <c r="F126" s="46">
        <v>47</v>
      </c>
      <c r="G126" s="46"/>
      <c r="H126" s="14">
        <f>IF(Assessment_Sheet[[#This Row],[NAME ]]="","",ROUND((G126/60*40),0))</f>
        <v>0</v>
      </c>
      <c r="I126" s="15">
        <f t="shared" si="2"/>
        <v>47</v>
      </c>
      <c r="J126" s="16" t="str">
        <f>IF(B126="","",IF(OR(F126="",G126=""),"IC",VLOOKUP(I126,Scale[],2,1)))</f>
        <v>IC</v>
      </c>
    </row>
    <row r="127" spans="1:10" x14ac:dyDescent="0.35">
      <c r="A127" s="34">
        <v>121</v>
      </c>
      <c r="B127" s="35" t="s">
        <v>542</v>
      </c>
      <c r="C127" s="34" t="s">
        <v>152</v>
      </c>
      <c r="D127" s="34" t="s">
        <v>817</v>
      </c>
      <c r="E127" s="34" t="s">
        <v>818</v>
      </c>
      <c r="F127" s="46">
        <v>56</v>
      </c>
      <c r="G127" s="46"/>
      <c r="H127" s="14">
        <f>IF(Assessment_Sheet[[#This Row],[NAME ]]="","",ROUND((G127/60*40),0))</f>
        <v>0</v>
      </c>
      <c r="I127" s="15">
        <f t="shared" si="2"/>
        <v>56</v>
      </c>
      <c r="J127" s="16" t="str">
        <f>IF(B127="","",IF(OR(F127="",G127=""),"IC",VLOOKUP(I127,Scale[],2,1)))</f>
        <v>IC</v>
      </c>
    </row>
    <row r="128" spans="1:10" x14ac:dyDescent="0.35">
      <c r="A128" s="34">
        <v>122</v>
      </c>
      <c r="B128" s="35" t="s">
        <v>543</v>
      </c>
      <c r="C128" s="34" t="s">
        <v>153</v>
      </c>
      <c r="D128" s="34" t="s">
        <v>817</v>
      </c>
      <c r="E128" s="34" t="s">
        <v>818</v>
      </c>
      <c r="F128" s="46"/>
      <c r="G128" s="46"/>
      <c r="H128" s="14">
        <f>IF(Assessment_Sheet[[#This Row],[NAME ]]="","",ROUND((G128/60*40),0))</f>
        <v>0</v>
      </c>
      <c r="I128" s="15">
        <f t="shared" si="2"/>
        <v>0</v>
      </c>
      <c r="J128" s="16" t="str">
        <f>IF(B128="","",IF(OR(F128="",G128=""),"IC",VLOOKUP(I128,Scale[],2,1)))</f>
        <v>IC</v>
      </c>
    </row>
    <row r="129" spans="1:10" x14ac:dyDescent="0.35">
      <c r="A129" s="34">
        <v>123</v>
      </c>
      <c r="B129" s="35" t="s">
        <v>544</v>
      </c>
      <c r="C129" s="34" t="s">
        <v>154</v>
      </c>
      <c r="D129" s="34" t="s">
        <v>817</v>
      </c>
      <c r="E129" s="34" t="s">
        <v>818</v>
      </c>
      <c r="F129" s="46">
        <v>53</v>
      </c>
      <c r="G129" s="46"/>
      <c r="H129" s="14">
        <f>IF(Assessment_Sheet[[#This Row],[NAME ]]="","",ROUND((G129/60*40),0))</f>
        <v>0</v>
      </c>
      <c r="I129" s="15">
        <f t="shared" si="2"/>
        <v>53</v>
      </c>
      <c r="J129" s="16" t="str">
        <f>IF(B129="","",IF(OR(F129="",G129=""),"IC",VLOOKUP(I129,Scale[],2,1)))</f>
        <v>IC</v>
      </c>
    </row>
    <row r="130" spans="1:10" x14ac:dyDescent="0.35">
      <c r="A130" s="34">
        <v>124</v>
      </c>
      <c r="B130" s="35" t="s">
        <v>545</v>
      </c>
      <c r="C130" s="34" t="s">
        <v>155</v>
      </c>
      <c r="D130" s="34" t="s">
        <v>817</v>
      </c>
      <c r="E130" s="34" t="s">
        <v>818</v>
      </c>
      <c r="F130" s="46">
        <v>51</v>
      </c>
      <c r="G130" s="46"/>
      <c r="H130" s="14">
        <f>IF(Assessment_Sheet[[#This Row],[NAME ]]="","",ROUND((G130/60*40),0))</f>
        <v>0</v>
      </c>
      <c r="I130" s="15">
        <f t="shared" si="2"/>
        <v>51</v>
      </c>
      <c r="J130" s="16" t="str">
        <f>IF(B130="","",IF(OR(F130="",G130=""),"IC",VLOOKUP(I130,Scale[],2,1)))</f>
        <v>IC</v>
      </c>
    </row>
    <row r="131" spans="1:10" x14ac:dyDescent="0.35">
      <c r="A131" s="34">
        <v>125</v>
      </c>
      <c r="B131" s="35" t="s">
        <v>546</v>
      </c>
      <c r="C131" s="34" t="s">
        <v>156</v>
      </c>
      <c r="D131" s="34" t="s">
        <v>817</v>
      </c>
      <c r="E131" s="34" t="s">
        <v>818</v>
      </c>
      <c r="F131" s="46">
        <v>51</v>
      </c>
      <c r="G131" s="46"/>
      <c r="H131" s="14">
        <f>IF(Assessment_Sheet[[#This Row],[NAME ]]="","",ROUND((G131/60*40),0))</f>
        <v>0</v>
      </c>
      <c r="I131" s="15">
        <f t="shared" si="2"/>
        <v>51</v>
      </c>
      <c r="J131" s="16" t="str">
        <f>IF(B131="","",IF(OR(F131="",G131=""),"IC",VLOOKUP(I131,Scale[],2,1)))</f>
        <v>IC</v>
      </c>
    </row>
    <row r="132" spans="1:10" x14ac:dyDescent="0.35">
      <c r="A132" s="34">
        <v>126</v>
      </c>
      <c r="B132" s="35" t="s">
        <v>547</v>
      </c>
      <c r="C132" s="34" t="s">
        <v>157</v>
      </c>
      <c r="D132" s="34" t="s">
        <v>817</v>
      </c>
      <c r="E132" s="34" t="s">
        <v>818</v>
      </c>
      <c r="F132" s="46">
        <v>55</v>
      </c>
      <c r="G132" s="46"/>
      <c r="H132" s="14">
        <f>IF(Assessment_Sheet[[#This Row],[NAME ]]="","",ROUND((G132/60*40),0))</f>
        <v>0</v>
      </c>
      <c r="I132" s="15">
        <f t="shared" si="2"/>
        <v>55</v>
      </c>
      <c r="J132" s="16" t="str">
        <f>IF(B132="","",IF(OR(F132="",G132=""),"IC",VLOOKUP(I132,Scale[],2,1)))</f>
        <v>IC</v>
      </c>
    </row>
    <row r="133" spans="1:10" x14ac:dyDescent="0.35">
      <c r="A133" s="34">
        <v>127</v>
      </c>
      <c r="B133" s="35" t="s">
        <v>548</v>
      </c>
      <c r="C133" s="34" t="s">
        <v>158</v>
      </c>
      <c r="D133" s="34" t="s">
        <v>817</v>
      </c>
      <c r="E133" s="34" t="s">
        <v>818</v>
      </c>
      <c r="F133" s="46">
        <v>54</v>
      </c>
      <c r="G133" s="46"/>
      <c r="H133" s="14">
        <f>IF(Assessment_Sheet[[#This Row],[NAME ]]="","",ROUND((G133/60*40),0))</f>
        <v>0</v>
      </c>
      <c r="I133" s="15">
        <f>IFERROR(ROUND((F133+H133),0),"")</f>
        <v>54</v>
      </c>
      <c r="J133" s="16" t="str">
        <f>IF(B133="","",IF(OR(F133="",G133=""),"IC",VLOOKUP(I133,Scale[],2,1)))</f>
        <v>IC</v>
      </c>
    </row>
    <row r="134" spans="1:10" x14ac:dyDescent="0.35">
      <c r="A134" s="34">
        <v>128</v>
      </c>
      <c r="B134" s="35" t="s">
        <v>549</v>
      </c>
      <c r="C134" s="34" t="s">
        <v>159</v>
      </c>
      <c r="D134" s="34" t="s">
        <v>817</v>
      </c>
      <c r="E134" s="34" t="s">
        <v>818</v>
      </c>
      <c r="F134" s="46">
        <v>51</v>
      </c>
      <c r="G134" s="46"/>
      <c r="H134" s="14">
        <f>IF(Assessment_Sheet[[#This Row],[NAME ]]="","",ROUND((G134/60*40),0))</f>
        <v>0</v>
      </c>
      <c r="I134" s="15">
        <f>IFERROR(ROUND((F134+H134),0),"")</f>
        <v>51</v>
      </c>
      <c r="J134" s="16" t="str">
        <f>IF(B134="","",IF(OR(F134="",G134=""),"IC",VLOOKUP(I134,Scale[],2,1)))</f>
        <v>IC</v>
      </c>
    </row>
    <row r="135" spans="1:10" x14ac:dyDescent="0.35">
      <c r="A135" s="34">
        <v>129</v>
      </c>
      <c r="B135" s="35" t="s">
        <v>550</v>
      </c>
      <c r="C135" s="34" t="s">
        <v>160</v>
      </c>
      <c r="D135" s="34" t="s">
        <v>817</v>
      </c>
      <c r="E135" s="34" t="s">
        <v>818</v>
      </c>
      <c r="F135" s="46">
        <v>54</v>
      </c>
      <c r="G135" s="46"/>
      <c r="H135" s="14">
        <f>IF(Assessment_Sheet[[#This Row],[NAME ]]="","",ROUND((G135/60*40),0))</f>
        <v>0</v>
      </c>
      <c r="I135" s="15">
        <f t="shared" si="2"/>
        <v>54</v>
      </c>
      <c r="J135" s="16" t="str">
        <f>IF(B135="","",IF(OR(F135="",G135=""),"IC",VLOOKUP(I135,Scale[],2,1)))</f>
        <v>IC</v>
      </c>
    </row>
    <row r="136" spans="1:10" x14ac:dyDescent="0.35">
      <c r="A136" s="34">
        <v>130</v>
      </c>
      <c r="B136" s="35" t="s">
        <v>551</v>
      </c>
      <c r="C136" s="34" t="s">
        <v>161</v>
      </c>
      <c r="D136" s="34" t="s">
        <v>817</v>
      </c>
      <c r="E136" s="34" t="s">
        <v>818</v>
      </c>
      <c r="F136" s="46"/>
      <c r="G136" s="46"/>
      <c r="H136" s="14">
        <f>IF(Assessment_Sheet[[#This Row],[NAME ]]="","",ROUND((G136/60*40),0))</f>
        <v>0</v>
      </c>
      <c r="I136" s="15">
        <f t="shared" ref="I136:I199" si="3">IFERROR(ROUND((F136+H136),0),"")</f>
        <v>0</v>
      </c>
      <c r="J136" s="16" t="str">
        <f>IF(B136="","",IF(OR(F136="",G136=""),"IC",VLOOKUP(I136,Scale[],2,1)))</f>
        <v>IC</v>
      </c>
    </row>
    <row r="137" spans="1:10" x14ac:dyDescent="0.35">
      <c r="A137" s="34">
        <v>131</v>
      </c>
      <c r="B137" s="35" t="s">
        <v>552</v>
      </c>
      <c r="C137" s="34" t="s">
        <v>162</v>
      </c>
      <c r="D137" s="34" t="s">
        <v>817</v>
      </c>
      <c r="E137" s="34" t="s">
        <v>818</v>
      </c>
      <c r="F137" s="46">
        <v>55</v>
      </c>
      <c r="G137" s="46"/>
      <c r="H137" s="14">
        <f>IF(Assessment_Sheet[[#This Row],[NAME ]]="","",ROUND((G137/60*40),0))</f>
        <v>0</v>
      </c>
      <c r="I137" s="15">
        <f t="shared" si="3"/>
        <v>55</v>
      </c>
      <c r="J137" s="16" t="str">
        <f>IF(B137="","",IF(OR(F137="",G137=""),"IC",VLOOKUP(I137,Scale[],2,1)))</f>
        <v>IC</v>
      </c>
    </row>
    <row r="138" spans="1:10" x14ac:dyDescent="0.35">
      <c r="A138" s="34">
        <v>132</v>
      </c>
      <c r="B138" s="35" t="s">
        <v>553</v>
      </c>
      <c r="C138" s="34" t="s">
        <v>163</v>
      </c>
      <c r="D138" s="34" t="s">
        <v>817</v>
      </c>
      <c r="E138" s="34" t="s">
        <v>818</v>
      </c>
      <c r="F138" s="46">
        <v>55</v>
      </c>
      <c r="G138" s="46"/>
      <c r="H138" s="14">
        <f>IF(Assessment_Sheet[[#This Row],[NAME ]]="","",ROUND((G138/60*40),0))</f>
        <v>0</v>
      </c>
      <c r="I138" s="15">
        <f t="shared" si="3"/>
        <v>55</v>
      </c>
      <c r="J138" s="16" t="str">
        <f>IF(B138="","",IF(OR(F138="",G138=""),"IC",VLOOKUP(I138,Scale[],2,1)))</f>
        <v>IC</v>
      </c>
    </row>
    <row r="139" spans="1:10" x14ac:dyDescent="0.35">
      <c r="A139" s="34">
        <v>133</v>
      </c>
      <c r="B139" s="35" t="s">
        <v>554</v>
      </c>
      <c r="C139" s="34" t="s">
        <v>164</v>
      </c>
      <c r="D139" s="34" t="s">
        <v>817</v>
      </c>
      <c r="E139" s="34" t="s">
        <v>818</v>
      </c>
      <c r="F139" s="46">
        <v>53</v>
      </c>
      <c r="G139" s="46"/>
      <c r="H139" s="14">
        <f>IF(Assessment_Sheet[[#This Row],[NAME ]]="","",ROUND((G139/60*40),0))</f>
        <v>0</v>
      </c>
      <c r="I139" s="15">
        <f t="shared" si="3"/>
        <v>53</v>
      </c>
      <c r="J139" s="16" t="str">
        <f>IF(B139="","",IF(OR(F139="",G139=""),"IC",VLOOKUP(I139,Scale[],2,1)))</f>
        <v>IC</v>
      </c>
    </row>
    <row r="140" spans="1:10" x14ac:dyDescent="0.35">
      <c r="A140" s="34">
        <v>134</v>
      </c>
      <c r="B140" s="35" t="s">
        <v>555</v>
      </c>
      <c r="C140" s="34" t="s">
        <v>165</v>
      </c>
      <c r="D140" s="34" t="s">
        <v>817</v>
      </c>
      <c r="E140" s="34" t="s">
        <v>818</v>
      </c>
      <c r="F140" s="46">
        <v>47</v>
      </c>
      <c r="G140" s="46"/>
      <c r="H140" s="14">
        <f>IF(Assessment_Sheet[[#This Row],[NAME ]]="","",ROUND((G140/60*40),0))</f>
        <v>0</v>
      </c>
      <c r="I140" s="15">
        <f t="shared" si="3"/>
        <v>47</v>
      </c>
      <c r="J140" s="16" t="str">
        <f>IF(B140="","",IF(OR(F140="",G140=""),"IC",VLOOKUP(I140,Scale[],2,1)))</f>
        <v>IC</v>
      </c>
    </row>
    <row r="141" spans="1:10" x14ac:dyDescent="0.35">
      <c r="A141" s="34">
        <v>135</v>
      </c>
      <c r="B141" s="35" t="s">
        <v>556</v>
      </c>
      <c r="C141" s="34" t="s">
        <v>166</v>
      </c>
      <c r="D141" s="34" t="s">
        <v>817</v>
      </c>
      <c r="E141" s="34" t="s">
        <v>818</v>
      </c>
      <c r="F141" s="46">
        <v>55</v>
      </c>
      <c r="G141" s="46"/>
      <c r="H141" s="14">
        <f>IF(Assessment_Sheet[[#This Row],[NAME ]]="","",ROUND((G141/60*40),0))</f>
        <v>0</v>
      </c>
      <c r="I141" s="15">
        <f t="shared" si="3"/>
        <v>55</v>
      </c>
      <c r="J141" s="16" t="str">
        <f>IF(B141="","",IF(OR(F141="",G141=""),"IC",VLOOKUP(I141,Scale[],2,1)))</f>
        <v>IC</v>
      </c>
    </row>
    <row r="142" spans="1:10" x14ac:dyDescent="0.35">
      <c r="A142" s="34">
        <v>136</v>
      </c>
      <c r="B142" s="35" t="s">
        <v>557</v>
      </c>
      <c r="C142" s="34" t="s">
        <v>167</v>
      </c>
      <c r="D142" s="34" t="s">
        <v>817</v>
      </c>
      <c r="E142" s="34" t="s">
        <v>818</v>
      </c>
      <c r="F142" s="46"/>
      <c r="G142" s="46"/>
      <c r="H142" s="14">
        <f>IF(Assessment_Sheet[[#This Row],[NAME ]]="","",ROUND((G142/60*40),0))</f>
        <v>0</v>
      </c>
      <c r="I142" s="15">
        <f t="shared" si="3"/>
        <v>0</v>
      </c>
      <c r="J142" s="16" t="str">
        <f>IF(B142="","",IF(OR(F142="",G142=""),"IC",VLOOKUP(I142,Scale[],2,1)))</f>
        <v>IC</v>
      </c>
    </row>
    <row r="143" spans="1:10" x14ac:dyDescent="0.35">
      <c r="A143" s="34">
        <v>137</v>
      </c>
      <c r="B143" s="35" t="s">
        <v>558</v>
      </c>
      <c r="C143" s="34" t="s">
        <v>168</v>
      </c>
      <c r="D143" s="34" t="s">
        <v>817</v>
      </c>
      <c r="E143" s="34" t="s">
        <v>818</v>
      </c>
      <c r="F143" s="46">
        <v>49</v>
      </c>
      <c r="G143" s="46"/>
      <c r="H143" s="14">
        <f>IF(Assessment_Sheet[[#This Row],[NAME ]]="","",ROUND((G143/60*40),0))</f>
        <v>0</v>
      </c>
      <c r="I143" s="15">
        <f t="shared" si="3"/>
        <v>49</v>
      </c>
      <c r="J143" s="16" t="str">
        <f>IF(B143="","",IF(OR(F143="",G143=""),"IC",VLOOKUP(I143,Scale[],2,1)))</f>
        <v>IC</v>
      </c>
    </row>
    <row r="144" spans="1:10" x14ac:dyDescent="0.35">
      <c r="A144" s="34">
        <v>138</v>
      </c>
      <c r="B144" s="35" t="s">
        <v>559</v>
      </c>
      <c r="C144" s="34" t="s">
        <v>169</v>
      </c>
      <c r="D144" s="34" t="s">
        <v>817</v>
      </c>
      <c r="E144" s="34" t="s">
        <v>818</v>
      </c>
      <c r="F144" s="46">
        <v>53</v>
      </c>
      <c r="G144" s="46"/>
      <c r="H144" s="14">
        <f>IF(Assessment_Sheet[[#This Row],[NAME ]]="","",ROUND((G144/60*40),0))</f>
        <v>0</v>
      </c>
      <c r="I144" s="15">
        <f t="shared" si="3"/>
        <v>53</v>
      </c>
      <c r="J144" s="16" t="str">
        <f>IF(B144="","",IF(OR(F144="",G144=""),"IC",VLOOKUP(I144,Scale[],2,1)))</f>
        <v>IC</v>
      </c>
    </row>
    <row r="145" spans="1:10" x14ac:dyDescent="0.35">
      <c r="A145" s="34">
        <v>139</v>
      </c>
      <c r="B145" s="35" t="s">
        <v>560</v>
      </c>
      <c r="C145" s="34" t="s">
        <v>170</v>
      </c>
      <c r="D145" s="34" t="s">
        <v>817</v>
      </c>
      <c r="E145" s="34" t="s">
        <v>818</v>
      </c>
      <c r="F145" s="46">
        <v>54</v>
      </c>
      <c r="G145" s="46"/>
      <c r="H145" s="14">
        <f>IF(Assessment_Sheet[[#This Row],[NAME ]]="","",ROUND((G145/60*40),0))</f>
        <v>0</v>
      </c>
      <c r="I145" s="15">
        <f t="shared" si="3"/>
        <v>54</v>
      </c>
      <c r="J145" s="16" t="str">
        <f>IF(B145="","",IF(OR(F145="",G145=""),"IC",VLOOKUP(I145,Scale[],2,1)))</f>
        <v>IC</v>
      </c>
    </row>
    <row r="146" spans="1:10" x14ac:dyDescent="0.35">
      <c r="A146" s="34">
        <v>140</v>
      </c>
      <c r="B146" s="35" t="s">
        <v>561</v>
      </c>
      <c r="C146" s="34" t="s">
        <v>171</v>
      </c>
      <c r="D146" s="34" t="s">
        <v>817</v>
      </c>
      <c r="E146" s="34" t="s">
        <v>818</v>
      </c>
      <c r="F146" s="46"/>
      <c r="G146" s="46"/>
      <c r="H146" s="14">
        <f>IF(Assessment_Sheet[[#This Row],[NAME ]]="","",ROUND((G146/60*40),0))</f>
        <v>0</v>
      </c>
      <c r="I146" s="15">
        <f t="shared" si="3"/>
        <v>0</v>
      </c>
      <c r="J146" s="16" t="str">
        <f>IF(B146="","",IF(OR(F146="",G146=""),"IC",VLOOKUP(I146,Scale[],2,1)))</f>
        <v>IC</v>
      </c>
    </row>
    <row r="147" spans="1:10" x14ac:dyDescent="0.35">
      <c r="A147" s="34">
        <v>141</v>
      </c>
      <c r="B147" s="35" t="s">
        <v>562</v>
      </c>
      <c r="C147" s="34" t="s">
        <v>172</v>
      </c>
      <c r="D147" s="34" t="s">
        <v>817</v>
      </c>
      <c r="E147" s="34" t="s">
        <v>818</v>
      </c>
      <c r="F147" s="46">
        <v>53</v>
      </c>
      <c r="G147" s="46"/>
      <c r="H147" s="14">
        <f>IF(Assessment_Sheet[[#This Row],[NAME ]]="","",ROUND((G147/60*40),0))</f>
        <v>0</v>
      </c>
      <c r="I147" s="15">
        <f t="shared" si="3"/>
        <v>53</v>
      </c>
      <c r="J147" s="16" t="str">
        <f>IF(B147="","",IF(OR(F147="",G147=""),"IC",VLOOKUP(I147,Scale[],2,1)))</f>
        <v>IC</v>
      </c>
    </row>
    <row r="148" spans="1:10" x14ac:dyDescent="0.35">
      <c r="A148" s="34">
        <v>142</v>
      </c>
      <c r="B148" s="35" t="s">
        <v>563</v>
      </c>
      <c r="C148" s="34" t="s">
        <v>173</v>
      </c>
      <c r="D148" s="34" t="s">
        <v>817</v>
      </c>
      <c r="E148" s="34" t="s">
        <v>818</v>
      </c>
      <c r="F148" s="46"/>
      <c r="G148" s="46"/>
      <c r="H148" s="14">
        <f>IF(Assessment_Sheet[[#This Row],[NAME ]]="","",ROUND((G148/60*40),0))</f>
        <v>0</v>
      </c>
      <c r="I148" s="15">
        <f t="shared" si="3"/>
        <v>0</v>
      </c>
      <c r="J148" s="16" t="str">
        <f>IF(B148="","",IF(OR(F148="",G148=""),"IC",VLOOKUP(I148,Scale[],2,1)))</f>
        <v>IC</v>
      </c>
    </row>
    <row r="149" spans="1:10" x14ac:dyDescent="0.35">
      <c r="A149" s="34">
        <v>143</v>
      </c>
      <c r="B149" s="35" t="s">
        <v>564</v>
      </c>
      <c r="C149" s="34" t="s">
        <v>174</v>
      </c>
      <c r="D149" s="34" t="s">
        <v>817</v>
      </c>
      <c r="E149" s="34" t="s">
        <v>818</v>
      </c>
      <c r="F149" s="46">
        <v>46</v>
      </c>
      <c r="G149" s="46"/>
      <c r="H149" s="14">
        <f>IF(Assessment_Sheet[[#This Row],[NAME ]]="","",ROUND((G149/60*40),0))</f>
        <v>0</v>
      </c>
      <c r="I149" s="15">
        <f>IFERROR(ROUND((F149+H149),0),"")</f>
        <v>46</v>
      </c>
      <c r="J149" s="16" t="str">
        <f>IF(B149="","",IF(OR(F149="",G149=""),"IC",VLOOKUP(I149,Scale[],2,1)))</f>
        <v>IC</v>
      </c>
    </row>
    <row r="150" spans="1:10" x14ac:dyDescent="0.35">
      <c r="A150" s="34">
        <v>144</v>
      </c>
      <c r="B150" s="35" t="s">
        <v>565</v>
      </c>
      <c r="C150" s="34" t="s">
        <v>175</v>
      </c>
      <c r="D150" s="34" t="s">
        <v>817</v>
      </c>
      <c r="E150" s="34" t="s">
        <v>818</v>
      </c>
      <c r="F150" s="46">
        <v>56</v>
      </c>
      <c r="G150" s="46"/>
      <c r="H150" s="14">
        <f>IF(Assessment_Sheet[[#This Row],[NAME ]]="","",ROUND((G150/60*40),0))</f>
        <v>0</v>
      </c>
      <c r="I150" s="15">
        <f>IFERROR(ROUND((F150+H150),0),"")</f>
        <v>56</v>
      </c>
      <c r="J150" s="16" t="str">
        <f>IF(B150="","",IF(OR(F150="",G150=""),"IC",VLOOKUP(I150,Scale[],2,1)))</f>
        <v>IC</v>
      </c>
    </row>
    <row r="151" spans="1:10" x14ac:dyDescent="0.35">
      <c r="A151" s="34">
        <v>145</v>
      </c>
      <c r="B151" s="35" t="s">
        <v>566</v>
      </c>
      <c r="C151" s="34" t="s">
        <v>176</v>
      </c>
      <c r="D151" s="34" t="s">
        <v>817</v>
      </c>
      <c r="E151" s="34" t="s">
        <v>818</v>
      </c>
      <c r="F151" s="46"/>
      <c r="G151" s="46"/>
      <c r="H151" s="14">
        <f>IF(Assessment_Sheet[[#This Row],[NAME ]]="","",ROUND((G151/60*40),0))</f>
        <v>0</v>
      </c>
      <c r="I151" s="15">
        <f t="shared" si="3"/>
        <v>0</v>
      </c>
      <c r="J151" s="16" t="str">
        <f>IF(B151="","",IF(OR(F151="",G151=""),"IC",VLOOKUP(I151,Scale[],2,1)))</f>
        <v>IC</v>
      </c>
    </row>
    <row r="152" spans="1:10" x14ac:dyDescent="0.35">
      <c r="A152" s="34">
        <v>146</v>
      </c>
      <c r="B152" s="35" t="s">
        <v>567</v>
      </c>
      <c r="C152" s="34" t="s">
        <v>177</v>
      </c>
      <c r="D152" s="34" t="s">
        <v>817</v>
      </c>
      <c r="E152" s="34" t="s">
        <v>818</v>
      </c>
      <c r="F152" s="46">
        <v>52</v>
      </c>
      <c r="G152" s="46"/>
      <c r="H152" s="14">
        <f>IF(Assessment_Sheet[[#This Row],[NAME ]]="","",ROUND((G152/60*40),0))</f>
        <v>0</v>
      </c>
      <c r="I152" s="15">
        <f t="shared" si="3"/>
        <v>52</v>
      </c>
      <c r="J152" s="16" t="str">
        <f>IF(B152="","",IF(OR(F152="",G152=""),"IC",VLOOKUP(I152,Scale[],2,1)))</f>
        <v>IC</v>
      </c>
    </row>
    <row r="153" spans="1:10" x14ac:dyDescent="0.35">
      <c r="A153" s="34">
        <v>147</v>
      </c>
      <c r="B153" s="35" t="s">
        <v>568</v>
      </c>
      <c r="C153" s="34" t="s">
        <v>178</v>
      </c>
      <c r="D153" s="34" t="s">
        <v>817</v>
      </c>
      <c r="E153" s="34" t="s">
        <v>818</v>
      </c>
      <c r="F153" s="46">
        <v>56</v>
      </c>
      <c r="G153" s="46"/>
      <c r="H153" s="14">
        <f>IF(Assessment_Sheet[[#This Row],[NAME ]]="","",ROUND((G153/60*40),0))</f>
        <v>0</v>
      </c>
      <c r="I153" s="15">
        <f t="shared" si="3"/>
        <v>56</v>
      </c>
      <c r="J153" s="16" t="str">
        <f>IF(B153="","",IF(OR(F153="",G153=""),"IC",VLOOKUP(I153,Scale[],2,1)))</f>
        <v>IC</v>
      </c>
    </row>
    <row r="154" spans="1:10" x14ac:dyDescent="0.35">
      <c r="A154" s="34">
        <v>148</v>
      </c>
      <c r="B154" s="35" t="s">
        <v>569</v>
      </c>
      <c r="C154" s="34" t="s">
        <v>179</v>
      </c>
      <c r="D154" s="34" t="s">
        <v>817</v>
      </c>
      <c r="E154" s="34" t="s">
        <v>818</v>
      </c>
      <c r="F154" s="46">
        <v>54</v>
      </c>
      <c r="G154" s="46"/>
      <c r="H154" s="14">
        <f>IF(Assessment_Sheet[[#This Row],[NAME ]]="","",ROUND((G154/60*40),0))</f>
        <v>0</v>
      </c>
      <c r="I154" s="15">
        <f t="shared" si="3"/>
        <v>54</v>
      </c>
      <c r="J154" s="16" t="str">
        <f>IF(B154="","",IF(OR(F154="",G154=""),"IC",VLOOKUP(I154,Scale[],2,1)))</f>
        <v>IC</v>
      </c>
    </row>
    <row r="155" spans="1:10" x14ac:dyDescent="0.35">
      <c r="A155" s="34">
        <v>149</v>
      </c>
      <c r="B155" s="35" t="s">
        <v>570</v>
      </c>
      <c r="C155" s="34" t="s">
        <v>180</v>
      </c>
      <c r="D155" s="34" t="s">
        <v>817</v>
      </c>
      <c r="E155" s="34" t="s">
        <v>818</v>
      </c>
      <c r="F155" s="46">
        <v>51</v>
      </c>
      <c r="G155" s="46"/>
      <c r="H155" s="14">
        <f>IF(Assessment_Sheet[[#This Row],[NAME ]]="","",ROUND((G155/60*40),0))</f>
        <v>0</v>
      </c>
      <c r="I155" s="15">
        <f t="shared" si="3"/>
        <v>51</v>
      </c>
      <c r="J155" s="16" t="str">
        <f>IF(B155="","",IF(OR(F155="",G155=""),"IC",VLOOKUP(I155,Scale[],2,1)))</f>
        <v>IC</v>
      </c>
    </row>
    <row r="156" spans="1:10" x14ac:dyDescent="0.35">
      <c r="A156" s="34">
        <v>150</v>
      </c>
      <c r="B156" s="35" t="s">
        <v>571</v>
      </c>
      <c r="C156" s="34" t="s">
        <v>181</v>
      </c>
      <c r="D156" s="34" t="s">
        <v>817</v>
      </c>
      <c r="E156" s="34" t="s">
        <v>818</v>
      </c>
      <c r="F156" s="46">
        <v>52</v>
      </c>
      <c r="G156" s="46"/>
      <c r="H156" s="14">
        <f>IF(Assessment_Sheet[[#This Row],[NAME ]]="","",ROUND((G156/60*40),0))</f>
        <v>0</v>
      </c>
      <c r="I156" s="15">
        <f t="shared" si="3"/>
        <v>52</v>
      </c>
      <c r="J156" s="16" t="str">
        <f>IF(B156="","",IF(OR(F156="",G156=""),"IC",VLOOKUP(I156,Scale[],2,1)))</f>
        <v>IC</v>
      </c>
    </row>
    <row r="157" spans="1:10" x14ac:dyDescent="0.35">
      <c r="A157" s="34">
        <v>151</v>
      </c>
      <c r="B157" s="35" t="s">
        <v>572</v>
      </c>
      <c r="C157" s="34" t="s">
        <v>182</v>
      </c>
      <c r="D157" s="34" t="s">
        <v>817</v>
      </c>
      <c r="E157" s="34" t="s">
        <v>818</v>
      </c>
      <c r="F157" s="46">
        <v>53</v>
      </c>
      <c r="G157" s="46"/>
      <c r="H157" s="14">
        <f>IF(Assessment_Sheet[[#This Row],[NAME ]]="","",ROUND((G157/60*40),0))</f>
        <v>0</v>
      </c>
      <c r="I157" s="15">
        <f t="shared" si="3"/>
        <v>53</v>
      </c>
      <c r="J157" s="16" t="str">
        <f>IF(B157="","",IF(OR(F157="",G157=""),"IC",VLOOKUP(I157,Scale[],2,1)))</f>
        <v>IC</v>
      </c>
    </row>
    <row r="158" spans="1:10" x14ac:dyDescent="0.35">
      <c r="A158" s="34">
        <v>152</v>
      </c>
      <c r="B158" s="35" t="s">
        <v>573</v>
      </c>
      <c r="C158" s="34" t="s">
        <v>183</v>
      </c>
      <c r="D158" s="34" t="s">
        <v>817</v>
      </c>
      <c r="E158" s="34" t="s">
        <v>818</v>
      </c>
      <c r="F158" s="46"/>
      <c r="G158" s="46"/>
      <c r="H158" s="14">
        <f>IF(Assessment_Sheet[[#This Row],[NAME ]]="","",ROUND((G158/60*40),0))</f>
        <v>0</v>
      </c>
      <c r="I158" s="15">
        <f t="shared" si="3"/>
        <v>0</v>
      </c>
      <c r="J158" s="16" t="str">
        <f>IF(B158="","",IF(OR(F158="",G158=""),"IC",VLOOKUP(I158,Scale[],2,1)))</f>
        <v>IC</v>
      </c>
    </row>
    <row r="159" spans="1:10" x14ac:dyDescent="0.35">
      <c r="A159" s="34">
        <v>153</v>
      </c>
      <c r="B159" s="35" t="s">
        <v>574</v>
      </c>
      <c r="C159" s="34" t="s">
        <v>184</v>
      </c>
      <c r="D159" s="34" t="s">
        <v>817</v>
      </c>
      <c r="E159" s="34" t="s">
        <v>818</v>
      </c>
      <c r="F159" s="46">
        <v>56</v>
      </c>
      <c r="G159" s="46"/>
      <c r="H159" s="14">
        <f>IF(Assessment_Sheet[[#This Row],[NAME ]]="","",ROUND((G159/60*40),0))</f>
        <v>0</v>
      </c>
      <c r="I159" s="15">
        <f t="shared" si="3"/>
        <v>56</v>
      </c>
      <c r="J159" s="16" t="str">
        <f>IF(B159="","",IF(OR(F159="",G159=""),"IC",VLOOKUP(I159,Scale[],2,1)))</f>
        <v>IC</v>
      </c>
    </row>
    <row r="160" spans="1:10" x14ac:dyDescent="0.35">
      <c r="A160" s="34">
        <v>154</v>
      </c>
      <c r="B160" s="35" t="s">
        <v>575</v>
      </c>
      <c r="C160" s="34" t="s">
        <v>185</v>
      </c>
      <c r="D160" s="34" t="s">
        <v>817</v>
      </c>
      <c r="E160" s="34" t="s">
        <v>818</v>
      </c>
      <c r="F160" s="46">
        <v>56</v>
      </c>
      <c r="G160" s="46"/>
      <c r="H160" s="14">
        <f>IF(Assessment_Sheet[[#This Row],[NAME ]]="","",ROUND((G160/60*40),0))</f>
        <v>0</v>
      </c>
      <c r="I160" s="15">
        <f t="shared" si="3"/>
        <v>56</v>
      </c>
      <c r="J160" s="16" t="str">
        <f>IF(B160="","",IF(OR(F160="",G160=""),"IC",VLOOKUP(I160,Scale[],2,1)))</f>
        <v>IC</v>
      </c>
    </row>
    <row r="161" spans="1:10" x14ac:dyDescent="0.35">
      <c r="A161" s="34">
        <v>155</v>
      </c>
      <c r="B161" s="35" t="s">
        <v>576</v>
      </c>
      <c r="C161" s="34" t="s">
        <v>186</v>
      </c>
      <c r="D161" s="34" t="s">
        <v>817</v>
      </c>
      <c r="E161" s="34" t="s">
        <v>818</v>
      </c>
      <c r="F161" s="46">
        <v>56</v>
      </c>
      <c r="G161" s="46"/>
      <c r="H161" s="14">
        <f>IF(Assessment_Sheet[[#This Row],[NAME ]]="","",ROUND((G161/60*40),0))</f>
        <v>0</v>
      </c>
      <c r="I161" s="15">
        <f t="shared" si="3"/>
        <v>56</v>
      </c>
      <c r="J161" s="16" t="str">
        <f>IF(B161="","",IF(OR(F161="",G161=""),"IC",VLOOKUP(I161,Scale[],2,1)))</f>
        <v>IC</v>
      </c>
    </row>
    <row r="162" spans="1:10" x14ac:dyDescent="0.35">
      <c r="A162" s="34">
        <v>156</v>
      </c>
      <c r="B162" s="35" t="s">
        <v>577</v>
      </c>
      <c r="C162" s="34" t="s">
        <v>187</v>
      </c>
      <c r="D162" s="34" t="s">
        <v>817</v>
      </c>
      <c r="E162" s="34" t="s">
        <v>818</v>
      </c>
      <c r="F162" s="46"/>
      <c r="G162" s="46"/>
      <c r="H162" s="14">
        <f>IF(Assessment_Sheet[[#This Row],[NAME ]]="","",ROUND((G162/60*40),0))</f>
        <v>0</v>
      </c>
      <c r="I162" s="15">
        <f t="shared" si="3"/>
        <v>0</v>
      </c>
      <c r="J162" s="16" t="str">
        <f>IF(B162="","",IF(OR(F162="",G162=""),"IC",VLOOKUP(I162,Scale[],2,1)))</f>
        <v>IC</v>
      </c>
    </row>
    <row r="163" spans="1:10" x14ac:dyDescent="0.35">
      <c r="A163" s="34">
        <v>157</v>
      </c>
      <c r="B163" s="35" t="s">
        <v>578</v>
      </c>
      <c r="C163" s="34" t="s">
        <v>188</v>
      </c>
      <c r="D163" s="34" t="s">
        <v>817</v>
      </c>
      <c r="E163" s="34" t="s">
        <v>818</v>
      </c>
      <c r="F163" s="46">
        <v>52</v>
      </c>
      <c r="G163" s="46"/>
      <c r="H163" s="14">
        <f>IF(Assessment_Sheet[[#This Row],[NAME ]]="","",ROUND((G163/60*40),0))</f>
        <v>0</v>
      </c>
      <c r="I163" s="15">
        <f t="shared" si="3"/>
        <v>52</v>
      </c>
      <c r="J163" s="16" t="str">
        <f>IF(B163="","",IF(OR(F163="",G163=""),"IC",VLOOKUP(I163,Scale[],2,1)))</f>
        <v>IC</v>
      </c>
    </row>
    <row r="164" spans="1:10" x14ac:dyDescent="0.35">
      <c r="A164" s="34">
        <v>158</v>
      </c>
      <c r="B164" s="35" t="s">
        <v>579</v>
      </c>
      <c r="C164" s="34" t="s">
        <v>189</v>
      </c>
      <c r="D164" s="34" t="s">
        <v>817</v>
      </c>
      <c r="E164" s="34" t="s">
        <v>818</v>
      </c>
      <c r="F164" s="46"/>
      <c r="G164" s="46"/>
      <c r="H164" s="14">
        <f>IF(Assessment_Sheet[[#This Row],[NAME ]]="","",ROUND((G164/60*40),0))</f>
        <v>0</v>
      </c>
      <c r="I164" s="15">
        <f t="shared" si="3"/>
        <v>0</v>
      </c>
      <c r="J164" s="16" t="str">
        <f>IF(B164="","",IF(OR(F164="",G164=""),"IC",VLOOKUP(I164,Scale[],2,1)))</f>
        <v>IC</v>
      </c>
    </row>
    <row r="165" spans="1:10" x14ac:dyDescent="0.35">
      <c r="A165" s="34">
        <v>159</v>
      </c>
      <c r="B165" s="35" t="s">
        <v>580</v>
      </c>
      <c r="C165" s="34" t="s">
        <v>190</v>
      </c>
      <c r="D165" s="34" t="s">
        <v>817</v>
      </c>
      <c r="E165" s="34" t="s">
        <v>818</v>
      </c>
      <c r="F165" s="46"/>
      <c r="G165" s="46"/>
      <c r="H165" s="14">
        <f>IF(Assessment_Sheet[[#This Row],[NAME ]]="","",ROUND((G165/60*40),0))</f>
        <v>0</v>
      </c>
      <c r="I165" s="15">
        <f t="shared" si="3"/>
        <v>0</v>
      </c>
      <c r="J165" s="16" t="str">
        <f>IF(B165="","",IF(OR(F165="",G165=""),"IC",VLOOKUP(I165,Scale[],2,1)))</f>
        <v>IC</v>
      </c>
    </row>
    <row r="166" spans="1:10" x14ac:dyDescent="0.35">
      <c r="A166" s="34">
        <v>160</v>
      </c>
      <c r="B166" s="35" t="s">
        <v>581</v>
      </c>
      <c r="C166" s="34" t="s">
        <v>191</v>
      </c>
      <c r="D166" s="34" t="s">
        <v>817</v>
      </c>
      <c r="E166" s="34" t="s">
        <v>818</v>
      </c>
      <c r="F166" s="46">
        <v>53</v>
      </c>
      <c r="G166" s="46"/>
      <c r="H166" s="14">
        <f>IF(Assessment_Sheet[[#This Row],[NAME ]]="","",ROUND((G166/60*40),0))</f>
        <v>0</v>
      </c>
      <c r="I166" s="15">
        <f t="shared" si="3"/>
        <v>53</v>
      </c>
      <c r="J166" s="16" t="str">
        <f>IF(B166="","",IF(OR(F166="",G166=""),"IC",VLOOKUP(I166,Scale[],2,1)))</f>
        <v>IC</v>
      </c>
    </row>
    <row r="167" spans="1:10" x14ac:dyDescent="0.35">
      <c r="A167" s="34">
        <v>161</v>
      </c>
      <c r="B167" s="35" t="s">
        <v>582</v>
      </c>
      <c r="C167" s="34" t="s">
        <v>192</v>
      </c>
      <c r="D167" s="34" t="s">
        <v>817</v>
      </c>
      <c r="E167" s="34" t="s">
        <v>818</v>
      </c>
      <c r="F167" s="46">
        <v>53</v>
      </c>
      <c r="G167" s="46"/>
      <c r="H167" s="14">
        <f>IF(Assessment_Sheet[[#This Row],[NAME ]]="","",ROUND((G167/60*40),0))</f>
        <v>0</v>
      </c>
      <c r="I167" s="15">
        <f t="shared" si="3"/>
        <v>53</v>
      </c>
      <c r="J167" s="16" t="str">
        <f>IF(B167="","",IF(OR(F167="",G167=""),"IC",VLOOKUP(I167,Scale[],2,1)))</f>
        <v>IC</v>
      </c>
    </row>
    <row r="168" spans="1:10" x14ac:dyDescent="0.35">
      <c r="A168" s="34">
        <v>162</v>
      </c>
      <c r="B168" s="35" t="s">
        <v>583</v>
      </c>
      <c r="C168" s="34" t="s">
        <v>193</v>
      </c>
      <c r="D168" s="34" t="s">
        <v>817</v>
      </c>
      <c r="E168" s="34" t="s">
        <v>818</v>
      </c>
      <c r="F168" s="46">
        <v>50</v>
      </c>
      <c r="G168" s="46"/>
      <c r="H168" s="14">
        <f>IF(Assessment_Sheet[[#This Row],[NAME ]]="","",ROUND((G168/60*40),0))</f>
        <v>0</v>
      </c>
      <c r="I168" s="15">
        <f t="shared" si="3"/>
        <v>50</v>
      </c>
      <c r="J168" s="16" t="str">
        <f>IF(B168="","",IF(OR(F168="",G168=""),"IC",VLOOKUP(I168,Scale[],2,1)))</f>
        <v>IC</v>
      </c>
    </row>
    <row r="169" spans="1:10" x14ac:dyDescent="0.35">
      <c r="A169" s="34">
        <v>163</v>
      </c>
      <c r="B169" s="35" t="s">
        <v>584</v>
      </c>
      <c r="C169" s="34" t="s">
        <v>194</v>
      </c>
      <c r="D169" s="34" t="s">
        <v>817</v>
      </c>
      <c r="E169" s="34" t="s">
        <v>818</v>
      </c>
      <c r="F169" s="46">
        <v>47</v>
      </c>
      <c r="G169" s="46"/>
      <c r="H169" s="14">
        <f>IF(Assessment_Sheet[[#This Row],[NAME ]]="","",ROUND((G169/60*40),0))</f>
        <v>0</v>
      </c>
      <c r="I169" s="15">
        <f>IFERROR(ROUND((F169+H169),0),"")</f>
        <v>47</v>
      </c>
      <c r="J169" s="16" t="str">
        <f>IF(B169="","",IF(OR(F169="",G169=""),"IC",VLOOKUP(I169,Scale[],2,1)))</f>
        <v>IC</v>
      </c>
    </row>
    <row r="170" spans="1:10" x14ac:dyDescent="0.35">
      <c r="A170" s="34">
        <v>164</v>
      </c>
      <c r="B170" s="35" t="s">
        <v>585</v>
      </c>
      <c r="C170" s="34" t="s">
        <v>195</v>
      </c>
      <c r="D170" s="34" t="s">
        <v>817</v>
      </c>
      <c r="E170" s="34" t="s">
        <v>818</v>
      </c>
      <c r="F170" s="46"/>
      <c r="G170" s="46"/>
      <c r="H170" s="14">
        <f>IF(Assessment_Sheet[[#This Row],[NAME ]]="","",ROUND((G170/60*40),0))</f>
        <v>0</v>
      </c>
      <c r="I170" s="15">
        <f>IFERROR(ROUND((F170+H170),0),"")</f>
        <v>0</v>
      </c>
      <c r="J170" s="16" t="str">
        <f>IF(B170="","",IF(OR(F170="",G170=""),"IC",VLOOKUP(I170,Scale[],2,1)))</f>
        <v>IC</v>
      </c>
    </row>
    <row r="171" spans="1:10" x14ac:dyDescent="0.35">
      <c r="A171" s="34">
        <v>165</v>
      </c>
      <c r="B171" s="35" t="s">
        <v>586</v>
      </c>
      <c r="C171" s="34" t="s">
        <v>196</v>
      </c>
      <c r="D171" s="34" t="s">
        <v>817</v>
      </c>
      <c r="E171" s="34" t="s">
        <v>818</v>
      </c>
      <c r="F171" s="46">
        <v>55</v>
      </c>
      <c r="G171" s="46"/>
      <c r="H171" s="14">
        <f>IF(Assessment_Sheet[[#This Row],[NAME ]]="","",ROUND((G171/60*40),0))</f>
        <v>0</v>
      </c>
      <c r="I171" s="15">
        <f t="shared" si="3"/>
        <v>55</v>
      </c>
      <c r="J171" s="16" t="str">
        <f>IF(B171="","",IF(OR(F171="",G171=""),"IC",VLOOKUP(I171,Scale[],2,1)))</f>
        <v>IC</v>
      </c>
    </row>
    <row r="172" spans="1:10" x14ac:dyDescent="0.35">
      <c r="A172" s="34">
        <v>166</v>
      </c>
      <c r="B172" s="35" t="s">
        <v>587</v>
      </c>
      <c r="C172" s="34" t="s">
        <v>197</v>
      </c>
      <c r="D172" s="34" t="s">
        <v>817</v>
      </c>
      <c r="E172" s="34" t="s">
        <v>818</v>
      </c>
      <c r="F172" s="46"/>
      <c r="G172" s="46"/>
      <c r="H172" s="14">
        <f>IF(Assessment_Sheet[[#This Row],[NAME ]]="","",ROUND((G172/60*40),0))</f>
        <v>0</v>
      </c>
      <c r="I172" s="15">
        <f t="shared" si="3"/>
        <v>0</v>
      </c>
      <c r="J172" s="16" t="str">
        <f>IF(B172="","",IF(OR(F172="",G172=""),"IC",VLOOKUP(I172,Scale[],2,1)))</f>
        <v>IC</v>
      </c>
    </row>
    <row r="173" spans="1:10" x14ac:dyDescent="0.35">
      <c r="A173" s="34">
        <v>167</v>
      </c>
      <c r="B173" s="35" t="s">
        <v>588</v>
      </c>
      <c r="C173" s="34" t="s">
        <v>198</v>
      </c>
      <c r="D173" s="34" t="s">
        <v>817</v>
      </c>
      <c r="E173" s="34" t="s">
        <v>818</v>
      </c>
      <c r="F173" s="46">
        <v>56</v>
      </c>
      <c r="G173" s="46"/>
      <c r="H173" s="14">
        <f>IF(Assessment_Sheet[[#This Row],[NAME ]]="","",ROUND((G173/60*40),0))</f>
        <v>0</v>
      </c>
      <c r="I173" s="15">
        <f t="shared" si="3"/>
        <v>56</v>
      </c>
      <c r="J173" s="16" t="str">
        <f>IF(B173="","",IF(OR(F173="",G173=""),"IC",VLOOKUP(I173,Scale[],2,1)))</f>
        <v>IC</v>
      </c>
    </row>
    <row r="174" spans="1:10" x14ac:dyDescent="0.35">
      <c r="A174" s="34">
        <v>168</v>
      </c>
      <c r="B174" s="35" t="s">
        <v>589</v>
      </c>
      <c r="C174" s="34" t="s">
        <v>199</v>
      </c>
      <c r="D174" s="34" t="s">
        <v>817</v>
      </c>
      <c r="E174" s="34" t="s">
        <v>818</v>
      </c>
      <c r="F174" s="46">
        <v>47</v>
      </c>
      <c r="G174" s="46"/>
      <c r="H174" s="14">
        <f>IF(Assessment_Sheet[[#This Row],[NAME ]]="","",ROUND((G174/60*40),0))</f>
        <v>0</v>
      </c>
      <c r="I174" s="15">
        <f t="shared" si="3"/>
        <v>47</v>
      </c>
      <c r="J174" s="16" t="str">
        <f>IF(B174="","",IF(OR(F174="",G174=""),"IC",VLOOKUP(I174,Scale[],2,1)))</f>
        <v>IC</v>
      </c>
    </row>
    <row r="175" spans="1:10" x14ac:dyDescent="0.35">
      <c r="A175" s="34">
        <v>169</v>
      </c>
      <c r="B175" s="35" t="s">
        <v>590</v>
      </c>
      <c r="C175" s="34" t="s">
        <v>200</v>
      </c>
      <c r="D175" s="34" t="s">
        <v>817</v>
      </c>
      <c r="E175" s="34" t="s">
        <v>818</v>
      </c>
      <c r="F175" s="46">
        <v>55</v>
      </c>
      <c r="G175" s="46"/>
      <c r="H175" s="14">
        <f>IF(Assessment_Sheet[[#This Row],[NAME ]]="","",ROUND((G175/60*40),0))</f>
        <v>0</v>
      </c>
      <c r="I175" s="15">
        <f t="shared" si="3"/>
        <v>55</v>
      </c>
      <c r="J175" s="16" t="str">
        <f>IF(B175="","",IF(OR(F175="",G175=""),"IC",VLOOKUP(I175,Scale[],2,1)))</f>
        <v>IC</v>
      </c>
    </row>
    <row r="176" spans="1:10" x14ac:dyDescent="0.35">
      <c r="A176" s="34">
        <v>170</v>
      </c>
      <c r="B176" s="35" t="s">
        <v>591</v>
      </c>
      <c r="C176" s="34" t="s">
        <v>201</v>
      </c>
      <c r="D176" s="34" t="s">
        <v>817</v>
      </c>
      <c r="E176" s="34" t="s">
        <v>818</v>
      </c>
      <c r="F176" s="46">
        <v>54</v>
      </c>
      <c r="G176" s="46"/>
      <c r="H176" s="14">
        <f>IF(Assessment_Sheet[[#This Row],[NAME ]]="","",ROUND((G176/60*40),0))</f>
        <v>0</v>
      </c>
      <c r="I176" s="15">
        <f t="shared" si="3"/>
        <v>54</v>
      </c>
      <c r="J176" s="16" t="str">
        <f>IF(B176="","",IF(OR(F176="",G176=""),"IC",VLOOKUP(I176,Scale[],2,1)))</f>
        <v>IC</v>
      </c>
    </row>
    <row r="177" spans="1:10" x14ac:dyDescent="0.35">
      <c r="A177" s="34">
        <v>171</v>
      </c>
      <c r="B177" s="35" t="s">
        <v>592</v>
      </c>
      <c r="C177" s="34" t="s">
        <v>202</v>
      </c>
      <c r="D177" s="34" t="s">
        <v>817</v>
      </c>
      <c r="E177" s="34" t="s">
        <v>818</v>
      </c>
      <c r="F177" s="46">
        <v>51</v>
      </c>
      <c r="G177" s="46"/>
      <c r="H177" s="14">
        <f>IF(Assessment_Sheet[[#This Row],[NAME ]]="","",ROUND((G177/60*40),0))</f>
        <v>0</v>
      </c>
      <c r="I177" s="15">
        <f t="shared" si="3"/>
        <v>51</v>
      </c>
      <c r="J177" s="16" t="str">
        <f>IF(B177="","",IF(OR(F177="",G177=""),"IC",VLOOKUP(I177,Scale[],2,1)))</f>
        <v>IC</v>
      </c>
    </row>
    <row r="178" spans="1:10" x14ac:dyDescent="0.35">
      <c r="A178" s="34">
        <v>172</v>
      </c>
      <c r="B178" s="35" t="s">
        <v>593</v>
      </c>
      <c r="C178" s="34" t="s">
        <v>203</v>
      </c>
      <c r="D178" s="34" t="s">
        <v>817</v>
      </c>
      <c r="E178" s="34" t="s">
        <v>818</v>
      </c>
      <c r="F178" s="46">
        <v>56</v>
      </c>
      <c r="G178" s="46"/>
      <c r="H178" s="14">
        <f>IF(Assessment_Sheet[[#This Row],[NAME ]]="","",ROUND((G178/60*40),0))</f>
        <v>0</v>
      </c>
      <c r="I178" s="15">
        <f t="shared" si="3"/>
        <v>56</v>
      </c>
      <c r="J178" s="16" t="str">
        <f>IF(B178="","",IF(OR(F178="",G178=""),"IC",VLOOKUP(I178,Scale[],2,1)))</f>
        <v>IC</v>
      </c>
    </row>
    <row r="179" spans="1:10" x14ac:dyDescent="0.35">
      <c r="A179" s="34">
        <v>173</v>
      </c>
      <c r="B179" s="35" t="s">
        <v>594</v>
      </c>
      <c r="C179" s="34" t="s">
        <v>204</v>
      </c>
      <c r="D179" s="34" t="s">
        <v>817</v>
      </c>
      <c r="E179" s="34" t="s">
        <v>818</v>
      </c>
      <c r="F179" s="46">
        <v>51</v>
      </c>
      <c r="G179" s="46"/>
      <c r="H179" s="14">
        <f>IF(Assessment_Sheet[[#This Row],[NAME ]]="","",ROUND((G179/60*40),0))</f>
        <v>0</v>
      </c>
      <c r="I179" s="15">
        <f t="shared" si="3"/>
        <v>51</v>
      </c>
      <c r="J179" s="16" t="str">
        <f>IF(B179="","",IF(OR(F179="",G179=""),"IC",VLOOKUP(I179,Scale[],2,1)))</f>
        <v>IC</v>
      </c>
    </row>
    <row r="180" spans="1:10" x14ac:dyDescent="0.35">
      <c r="A180" s="34">
        <v>174</v>
      </c>
      <c r="B180" s="35" t="s">
        <v>595</v>
      </c>
      <c r="C180" s="34" t="s">
        <v>205</v>
      </c>
      <c r="D180" s="34" t="s">
        <v>817</v>
      </c>
      <c r="E180" s="34" t="s">
        <v>818</v>
      </c>
      <c r="F180" s="46">
        <v>49</v>
      </c>
      <c r="G180" s="46"/>
      <c r="H180" s="14">
        <f>IF(Assessment_Sheet[[#This Row],[NAME ]]="","",ROUND((G180/60*40),0))</f>
        <v>0</v>
      </c>
      <c r="I180" s="15">
        <f t="shared" si="3"/>
        <v>49</v>
      </c>
      <c r="J180" s="16" t="str">
        <f>IF(B180="","",IF(OR(F180="",G180=""),"IC",VLOOKUP(I180,Scale[],2,1)))</f>
        <v>IC</v>
      </c>
    </row>
    <row r="181" spans="1:10" x14ac:dyDescent="0.35">
      <c r="A181" s="34">
        <v>175</v>
      </c>
      <c r="B181" s="35" t="s">
        <v>596</v>
      </c>
      <c r="C181" s="34" t="s">
        <v>206</v>
      </c>
      <c r="D181" s="34" t="s">
        <v>817</v>
      </c>
      <c r="E181" s="34" t="s">
        <v>818</v>
      </c>
      <c r="F181" s="46"/>
      <c r="G181" s="46"/>
      <c r="H181" s="14">
        <f>IF(Assessment_Sheet[[#This Row],[NAME ]]="","",ROUND((G181/60*40),0))</f>
        <v>0</v>
      </c>
      <c r="I181" s="15">
        <f t="shared" si="3"/>
        <v>0</v>
      </c>
      <c r="J181" s="16" t="str">
        <f>IF(B181="","",IF(OR(F181="",G181=""),"IC",VLOOKUP(I181,Scale[],2,1)))</f>
        <v>IC</v>
      </c>
    </row>
    <row r="182" spans="1:10" x14ac:dyDescent="0.35">
      <c r="A182" s="34">
        <v>176</v>
      </c>
      <c r="B182" s="35" t="s">
        <v>597</v>
      </c>
      <c r="C182" s="34" t="s">
        <v>207</v>
      </c>
      <c r="D182" s="34" t="s">
        <v>817</v>
      </c>
      <c r="E182" s="34" t="s">
        <v>818</v>
      </c>
      <c r="F182" s="46">
        <v>47</v>
      </c>
      <c r="G182" s="46"/>
      <c r="H182" s="14">
        <f>IF(Assessment_Sheet[[#This Row],[NAME ]]="","",ROUND((G182/60*40),0))</f>
        <v>0</v>
      </c>
      <c r="I182" s="15">
        <f t="shared" si="3"/>
        <v>47</v>
      </c>
      <c r="J182" s="16" t="str">
        <f>IF(B182="","",IF(OR(F182="",G182=""),"IC",VLOOKUP(I182,Scale[],2,1)))</f>
        <v>IC</v>
      </c>
    </row>
    <row r="183" spans="1:10" x14ac:dyDescent="0.35">
      <c r="A183" s="34">
        <v>177</v>
      </c>
      <c r="B183" s="35" t="s">
        <v>598</v>
      </c>
      <c r="C183" s="34" t="s">
        <v>208</v>
      </c>
      <c r="D183" s="34" t="s">
        <v>817</v>
      </c>
      <c r="E183" s="34" t="s">
        <v>818</v>
      </c>
      <c r="F183" s="46">
        <v>47</v>
      </c>
      <c r="G183" s="46"/>
      <c r="H183" s="14">
        <f>IF(Assessment_Sheet[[#This Row],[NAME ]]="","",ROUND((G183/60*40),0))</f>
        <v>0</v>
      </c>
      <c r="I183" s="15">
        <f t="shared" si="3"/>
        <v>47</v>
      </c>
      <c r="J183" s="16" t="str">
        <f>IF(B183="","",IF(OR(F183="",G183=""),"IC",VLOOKUP(I183,Scale[],2,1)))</f>
        <v>IC</v>
      </c>
    </row>
    <row r="184" spans="1:10" x14ac:dyDescent="0.35">
      <c r="A184" s="34">
        <v>178</v>
      </c>
      <c r="B184" s="35" t="s">
        <v>599</v>
      </c>
      <c r="C184" s="34" t="s">
        <v>209</v>
      </c>
      <c r="D184" s="34" t="s">
        <v>817</v>
      </c>
      <c r="E184" s="34" t="s">
        <v>818</v>
      </c>
      <c r="F184" s="46">
        <v>49</v>
      </c>
      <c r="G184" s="46"/>
      <c r="H184" s="14">
        <f>IF(Assessment_Sheet[[#This Row],[NAME ]]="","",ROUND((G184/60*40),0))</f>
        <v>0</v>
      </c>
      <c r="I184" s="15">
        <f t="shared" si="3"/>
        <v>49</v>
      </c>
      <c r="J184" s="16" t="str">
        <f>IF(B184="","",IF(OR(F184="",G184=""),"IC",VLOOKUP(I184,Scale[],2,1)))</f>
        <v>IC</v>
      </c>
    </row>
    <row r="185" spans="1:10" x14ac:dyDescent="0.35">
      <c r="A185" s="34">
        <v>179</v>
      </c>
      <c r="B185" s="35" t="s">
        <v>600</v>
      </c>
      <c r="C185" s="34" t="s">
        <v>210</v>
      </c>
      <c r="D185" s="34" t="s">
        <v>817</v>
      </c>
      <c r="E185" s="34" t="s">
        <v>818</v>
      </c>
      <c r="F185" s="46">
        <v>55</v>
      </c>
      <c r="G185" s="46"/>
      <c r="H185" s="14">
        <f>IF(Assessment_Sheet[[#This Row],[NAME ]]="","",ROUND((G185/60*40),0))</f>
        <v>0</v>
      </c>
      <c r="I185" s="15">
        <f t="shared" si="3"/>
        <v>55</v>
      </c>
      <c r="J185" s="16" t="str">
        <f>IF(B185="","",IF(OR(F185="",G185=""),"IC",VLOOKUP(I185,Scale[],2,1)))</f>
        <v>IC</v>
      </c>
    </row>
    <row r="186" spans="1:10" x14ac:dyDescent="0.35">
      <c r="A186" s="34">
        <v>180</v>
      </c>
      <c r="B186" s="35" t="s">
        <v>601</v>
      </c>
      <c r="C186" s="34" t="s">
        <v>211</v>
      </c>
      <c r="D186" s="34" t="s">
        <v>817</v>
      </c>
      <c r="E186" s="34" t="s">
        <v>818</v>
      </c>
      <c r="F186" s="46">
        <v>51</v>
      </c>
      <c r="G186" s="46"/>
      <c r="H186" s="14">
        <f>IF(Assessment_Sheet[[#This Row],[NAME ]]="","",ROUND((G186/60*40),0))</f>
        <v>0</v>
      </c>
      <c r="I186" s="15">
        <f t="shared" si="3"/>
        <v>51</v>
      </c>
      <c r="J186" s="16" t="str">
        <f>IF(B186="","",IF(OR(F186="",G186=""),"IC",VLOOKUP(I186,Scale[],2,1)))</f>
        <v>IC</v>
      </c>
    </row>
    <row r="187" spans="1:10" x14ac:dyDescent="0.35">
      <c r="A187" s="34">
        <v>181</v>
      </c>
      <c r="B187" s="35" t="s">
        <v>602</v>
      </c>
      <c r="C187" s="34" t="s">
        <v>212</v>
      </c>
      <c r="D187" s="34" t="s">
        <v>817</v>
      </c>
      <c r="E187" s="34" t="s">
        <v>818</v>
      </c>
      <c r="F187" s="46">
        <v>47</v>
      </c>
      <c r="G187" s="46"/>
      <c r="H187" s="14">
        <f>IF(Assessment_Sheet[[#This Row],[NAME ]]="","",ROUND((G187/60*40),0))</f>
        <v>0</v>
      </c>
      <c r="I187" s="15">
        <f t="shared" si="3"/>
        <v>47</v>
      </c>
      <c r="J187" s="16" t="str">
        <f>IF(B187="","",IF(OR(F187="",G187=""),"IC",VLOOKUP(I187,Scale[],2,1)))</f>
        <v>IC</v>
      </c>
    </row>
    <row r="188" spans="1:10" x14ac:dyDescent="0.35">
      <c r="A188" s="34">
        <v>182</v>
      </c>
      <c r="B188" s="35" t="s">
        <v>603</v>
      </c>
      <c r="C188" s="34" t="s">
        <v>213</v>
      </c>
      <c r="D188" s="34" t="s">
        <v>817</v>
      </c>
      <c r="E188" s="34" t="s">
        <v>818</v>
      </c>
      <c r="F188" s="46">
        <v>56</v>
      </c>
      <c r="G188" s="46"/>
      <c r="H188" s="14">
        <f>IF(Assessment_Sheet[[#This Row],[NAME ]]="","",ROUND((G188/60*40),0))</f>
        <v>0</v>
      </c>
      <c r="I188" s="15">
        <f t="shared" si="3"/>
        <v>56</v>
      </c>
      <c r="J188" s="16" t="str">
        <f>IF(B188="","",IF(OR(F188="",G188=""),"IC",VLOOKUP(I188,Scale[],2,1)))</f>
        <v>IC</v>
      </c>
    </row>
    <row r="189" spans="1:10" x14ac:dyDescent="0.35">
      <c r="A189" s="34">
        <v>183</v>
      </c>
      <c r="B189" s="35" t="s">
        <v>604</v>
      </c>
      <c r="C189" s="34" t="s">
        <v>214</v>
      </c>
      <c r="D189" s="34" t="s">
        <v>817</v>
      </c>
      <c r="E189" s="34" t="s">
        <v>818</v>
      </c>
      <c r="F189" s="46">
        <v>56</v>
      </c>
      <c r="G189" s="46"/>
      <c r="H189" s="14">
        <f>IF(Assessment_Sheet[[#This Row],[NAME ]]="","",ROUND((G189/60*40),0))</f>
        <v>0</v>
      </c>
      <c r="I189" s="15">
        <f t="shared" si="3"/>
        <v>56</v>
      </c>
      <c r="J189" s="16" t="str">
        <f>IF(B189="","",IF(OR(F189="",G189=""),"IC",VLOOKUP(I189,Scale[],2,1)))</f>
        <v>IC</v>
      </c>
    </row>
    <row r="190" spans="1:10" x14ac:dyDescent="0.35">
      <c r="A190" s="34">
        <v>184</v>
      </c>
      <c r="B190" s="35" t="s">
        <v>605</v>
      </c>
      <c r="C190" s="34" t="s">
        <v>215</v>
      </c>
      <c r="D190" s="34" t="s">
        <v>817</v>
      </c>
      <c r="E190" s="34" t="s">
        <v>818</v>
      </c>
      <c r="F190" s="46">
        <v>53</v>
      </c>
      <c r="G190" s="46"/>
      <c r="H190" s="14">
        <f>IF(Assessment_Sheet[[#This Row],[NAME ]]="","",ROUND((G190/60*40),0))</f>
        <v>0</v>
      </c>
      <c r="I190" s="15">
        <f t="shared" si="3"/>
        <v>53</v>
      </c>
      <c r="J190" s="16" t="str">
        <f>IF(B190="","",IF(OR(F190="",G190=""),"IC",VLOOKUP(I190,Scale[],2,1)))</f>
        <v>IC</v>
      </c>
    </row>
    <row r="191" spans="1:10" x14ac:dyDescent="0.35">
      <c r="A191" s="34">
        <v>185</v>
      </c>
      <c r="B191" s="35" t="s">
        <v>606</v>
      </c>
      <c r="C191" s="34" t="s">
        <v>216</v>
      </c>
      <c r="D191" s="34" t="s">
        <v>817</v>
      </c>
      <c r="E191" s="34" t="s">
        <v>818</v>
      </c>
      <c r="F191" s="46"/>
      <c r="G191" s="46"/>
      <c r="H191" s="14">
        <f>IF(Assessment_Sheet[[#This Row],[NAME ]]="","",ROUND((G191/60*40),0))</f>
        <v>0</v>
      </c>
      <c r="I191" s="15">
        <f t="shared" si="3"/>
        <v>0</v>
      </c>
      <c r="J191" s="16" t="str">
        <f>IF(B191="","",IF(OR(F191="",G191=""),"IC",VLOOKUP(I191,Scale[],2,1)))</f>
        <v>IC</v>
      </c>
    </row>
    <row r="192" spans="1:10" x14ac:dyDescent="0.35">
      <c r="A192" s="34">
        <v>186</v>
      </c>
      <c r="B192" s="35" t="s">
        <v>607</v>
      </c>
      <c r="C192" s="34" t="s">
        <v>217</v>
      </c>
      <c r="D192" s="34" t="s">
        <v>817</v>
      </c>
      <c r="E192" s="34" t="s">
        <v>818</v>
      </c>
      <c r="F192" s="46"/>
      <c r="G192" s="46"/>
      <c r="H192" s="14">
        <f>IF(Assessment_Sheet[[#This Row],[NAME ]]="","",ROUND((G192/60*40),0))</f>
        <v>0</v>
      </c>
      <c r="I192" s="15">
        <f t="shared" si="3"/>
        <v>0</v>
      </c>
      <c r="J192" s="16" t="str">
        <f>IF(B192="","",IF(OR(F192="",G192=""),"IC",VLOOKUP(I192,Scale[],2,1)))</f>
        <v>IC</v>
      </c>
    </row>
    <row r="193" spans="1:10" x14ac:dyDescent="0.35">
      <c r="A193" s="34">
        <v>187</v>
      </c>
      <c r="B193" s="35" t="s">
        <v>608</v>
      </c>
      <c r="C193" s="34" t="s">
        <v>218</v>
      </c>
      <c r="D193" s="34" t="s">
        <v>817</v>
      </c>
      <c r="E193" s="34" t="s">
        <v>818</v>
      </c>
      <c r="F193" s="46">
        <v>56</v>
      </c>
      <c r="G193" s="46"/>
      <c r="H193" s="14">
        <f>IF(Assessment_Sheet[[#This Row],[NAME ]]="","",ROUND((G193/60*40),0))</f>
        <v>0</v>
      </c>
      <c r="I193" s="15">
        <f t="shared" si="3"/>
        <v>56</v>
      </c>
      <c r="J193" s="16" t="str">
        <f>IF(B193="","",IF(OR(F193="",G193=""),"IC",VLOOKUP(I193,Scale[],2,1)))</f>
        <v>IC</v>
      </c>
    </row>
    <row r="194" spans="1:10" x14ac:dyDescent="0.35">
      <c r="A194" s="34">
        <v>188</v>
      </c>
      <c r="B194" s="35" t="s">
        <v>609</v>
      </c>
      <c r="C194" s="34" t="s">
        <v>219</v>
      </c>
      <c r="D194" s="34" t="s">
        <v>817</v>
      </c>
      <c r="E194" s="34" t="s">
        <v>818</v>
      </c>
      <c r="F194" s="46">
        <v>49</v>
      </c>
      <c r="G194" s="46"/>
      <c r="H194" s="14">
        <f>IF(Assessment_Sheet[[#This Row],[NAME ]]="","",ROUND((G194/60*40),0))</f>
        <v>0</v>
      </c>
      <c r="I194" s="15">
        <f t="shared" si="3"/>
        <v>49</v>
      </c>
      <c r="J194" s="16" t="str">
        <f>IF(B194="","",IF(OR(F194="",G194=""),"IC",VLOOKUP(I194,Scale[],2,1)))</f>
        <v>IC</v>
      </c>
    </row>
    <row r="195" spans="1:10" x14ac:dyDescent="0.35">
      <c r="A195" s="34">
        <v>189</v>
      </c>
      <c r="B195" s="35" t="s">
        <v>610</v>
      </c>
      <c r="C195" s="34" t="s">
        <v>220</v>
      </c>
      <c r="D195" s="34" t="s">
        <v>817</v>
      </c>
      <c r="E195" s="34" t="s">
        <v>818</v>
      </c>
      <c r="F195" s="46">
        <v>56</v>
      </c>
      <c r="G195" s="46"/>
      <c r="H195" s="14">
        <f>IF(Assessment_Sheet[[#This Row],[NAME ]]="","",ROUND((G195/60*40),0))</f>
        <v>0</v>
      </c>
      <c r="I195" s="15">
        <f t="shared" si="3"/>
        <v>56</v>
      </c>
      <c r="J195" s="16" t="str">
        <f>IF(B195="","",IF(OR(F195="",G195=""),"IC",VLOOKUP(I195,Scale[],2,1)))</f>
        <v>IC</v>
      </c>
    </row>
    <row r="196" spans="1:10" x14ac:dyDescent="0.35">
      <c r="A196" s="34">
        <v>190</v>
      </c>
      <c r="B196" s="35" t="s">
        <v>611</v>
      </c>
      <c r="C196" s="34" t="s">
        <v>221</v>
      </c>
      <c r="D196" s="34" t="s">
        <v>817</v>
      </c>
      <c r="E196" s="34" t="s">
        <v>818</v>
      </c>
      <c r="F196" s="46">
        <v>52</v>
      </c>
      <c r="G196" s="46"/>
      <c r="H196" s="14">
        <f>IF(Assessment_Sheet[[#This Row],[NAME ]]="","",ROUND((G196/60*40),0))</f>
        <v>0</v>
      </c>
      <c r="I196" s="15">
        <f t="shared" si="3"/>
        <v>52</v>
      </c>
      <c r="J196" s="16" t="str">
        <f>IF(B196="","",IF(OR(F196="",G196=""),"IC",VLOOKUP(I196,Scale[],2,1)))</f>
        <v>IC</v>
      </c>
    </row>
    <row r="197" spans="1:10" x14ac:dyDescent="0.35">
      <c r="A197" s="34">
        <v>191</v>
      </c>
      <c r="B197" s="35" t="s">
        <v>612</v>
      </c>
      <c r="C197" s="34" t="s">
        <v>222</v>
      </c>
      <c r="D197" s="34" t="s">
        <v>817</v>
      </c>
      <c r="E197" s="34" t="s">
        <v>818</v>
      </c>
      <c r="F197" s="46">
        <v>56</v>
      </c>
      <c r="G197" s="46"/>
      <c r="H197" s="14">
        <f>IF(Assessment_Sheet[[#This Row],[NAME ]]="","",ROUND((G197/60*40),0))</f>
        <v>0</v>
      </c>
      <c r="I197" s="15">
        <f t="shared" si="3"/>
        <v>56</v>
      </c>
      <c r="J197" s="16" t="str">
        <f>IF(B197="","",IF(OR(F197="",G197=""),"IC",VLOOKUP(I197,Scale[],2,1)))</f>
        <v>IC</v>
      </c>
    </row>
    <row r="198" spans="1:10" x14ac:dyDescent="0.35">
      <c r="A198" s="34">
        <v>192</v>
      </c>
      <c r="B198" s="35" t="s">
        <v>613</v>
      </c>
      <c r="C198" s="34" t="s">
        <v>223</v>
      </c>
      <c r="D198" s="34" t="s">
        <v>817</v>
      </c>
      <c r="E198" s="34" t="s">
        <v>818</v>
      </c>
      <c r="F198" s="46"/>
      <c r="G198" s="46"/>
      <c r="H198" s="14">
        <f>IF(Assessment_Sheet[[#This Row],[NAME ]]="","",ROUND((G198/60*40),0))</f>
        <v>0</v>
      </c>
      <c r="I198" s="15">
        <f t="shared" si="3"/>
        <v>0</v>
      </c>
      <c r="J198" s="16" t="str">
        <f>IF(B198="","",IF(OR(F198="",G198=""),"IC",VLOOKUP(I198,Scale[],2,1)))</f>
        <v>IC</v>
      </c>
    </row>
    <row r="199" spans="1:10" x14ac:dyDescent="0.35">
      <c r="A199" s="34">
        <v>193</v>
      </c>
      <c r="B199" s="35" t="s">
        <v>614</v>
      </c>
      <c r="C199" s="34" t="s">
        <v>224</v>
      </c>
      <c r="D199" s="34" t="s">
        <v>817</v>
      </c>
      <c r="E199" s="34" t="s">
        <v>818</v>
      </c>
      <c r="F199" s="46">
        <v>53</v>
      </c>
      <c r="G199" s="46"/>
      <c r="H199" s="14">
        <f>IF(Assessment_Sheet[[#This Row],[NAME ]]="","",ROUND((G199/60*40),0))</f>
        <v>0</v>
      </c>
      <c r="I199" s="15">
        <f t="shared" si="3"/>
        <v>53</v>
      </c>
      <c r="J199" s="16" t="str">
        <f>IF(B199="","",IF(OR(F199="",G199=""),"IC",VLOOKUP(I199,Scale[],2,1)))</f>
        <v>IC</v>
      </c>
    </row>
    <row r="200" spans="1:10" x14ac:dyDescent="0.35">
      <c r="A200" s="34">
        <v>194</v>
      </c>
      <c r="B200" s="35" t="s">
        <v>615</v>
      </c>
      <c r="C200" s="34" t="s">
        <v>225</v>
      </c>
      <c r="D200" s="34" t="s">
        <v>817</v>
      </c>
      <c r="E200" s="34" t="s">
        <v>818</v>
      </c>
      <c r="F200" s="46">
        <v>55</v>
      </c>
      <c r="G200" s="46"/>
      <c r="H200" s="14">
        <f>IF(Assessment_Sheet[[#This Row],[NAME ]]="","",ROUND((G200/60*40),0))</f>
        <v>0</v>
      </c>
      <c r="I200" s="15">
        <f t="shared" ref="I200:I263" si="4">IFERROR(ROUND((F200+H200),0),"")</f>
        <v>55</v>
      </c>
      <c r="J200" s="16" t="str">
        <f>IF(B200="","",IF(OR(F200="",G200=""),"IC",VLOOKUP(I200,Scale[],2,1)))</f>
        <v>IC</v>
      </c>
    </row>
    <row r="201" spans="1:10" x14ac:dyDescent="0.35">
      <c r="A201" s="34">
        <v>195</v>
      </c>
      <c r="B201" s="35" t="s">
        <v>616</v>
      </c>
      <c r="C201" s="34" t="s">
        <v>226</v>
      </c>
      <c r="D201" s="34" t="s">
        <v>817</v>
      </c>
      <c r="E201" s="34" t="s">
        <v>818</v>
      </c>
      <c r="F201" s="46">
        <v>53</v>
      </c>
      <c r="G201" s="46"/>
      <c r="H201" s="14">
        <f>IF(Assessment_Sheet[[#This Row],[NAME ]]="","",ROUND((G201/60*40),0))</f>
        <v>0</v>
      </c>
      <c r="I201" s="15">
        <f t="shared" si="4"/>
        <v>53</v>
      </c>
      <c r="J201" s="16" t="str">
        <f>IF(B201="","",IF(OR(F201="",G201=""),"IC",VLOOKUP(I201,Scale[],2,1)))</f>
        <v>IC</v>
      </c>
    </row>
    <row r="202" spans="1:10" x14ac:dyDescent="0.35">
      <c r="A202" s="34">
        <v>196</v>
      </c>
      <c r="B202" s="35" t="s">
        <v>617</v>
      </c>
      <c r="C202" s="34" t="s">
        <v>227</v>
      </c>
      <c r="D202" s="34" t="s">
        <v>817</v>
      </c>
      <c r="E202" s="34" t="s">
        <v>818</v>
      </c>
      <c r="F202" s="46">
        <v>54</v>
      </c>
      <c r="G202" s="46"/>
      <c r="H202" s="14">
        <f>IF(Assessment_Sheet[[#This Row],[NAME ]]="","",ROUND((G202/60*40),0))</f>
        <v>0</v>
      </c>
      <c r="I202" s="15">
        <f t="shared" si="4"/>
        <v>54</v>
      </c>
      <c r="J202" s="16" t="str">
        <f>IF(B202="","",IF(OR(F202="",G202=""),"IC",VLOOKUP(I202,Scale[],2,1)))</f>
        <v>IC</v>
      </c>
    </row>
    <row r="203" spans="1:10" x14ac:dyDescent="0.35">
      <c r="A203" s="34">
        <v>197</v>
      </c>
      <c r="B203" s="35" t="s">
        <v>618</v>
      </c>
      <c r="C203" s="34" t="s">
        <v>228</v>
      </c>
      <c r="D203" s="34" t="s">
        <v>817</v>
      </c>
      <c r="E203" s="34" t="s">
        <v>818</v>
      </c>
      <c r="F203" s="46">
        <v>51</v>
      </c>
      <c r="G203" s="46"/>
      <c r="H203" s="14">
        <f>IF(Assessment_Sheet[[#This Row],[NAME ]]="","",ROUND((G203/60*40),0))</f>
        <v>0</v>
      </c>
      <c r="I203" s="15">
        <f t="shared" si="4"/>
        <v>51</v>
      </c>
      <c r="J203" s="16" t="str">
        <f>IF(B203="","",IF(OR(F203="",G203=""),"IC",VLOOKUP(I203,Scale[],2,1)))</f>
        <v>IC</v>
      </c>
    </row>
    <row r="204" spans="1:10" x14ac:dyDescent="0.35">
      <c r="A204" s="34">
        <v>198</v>
      </c>
      <c r="B204" s="35" t="s">
        <v>619</v>
      </c>
      <c r="C204" s="34" t="s">
        <v>229</v>
      </c>
      <c r="D204" s="34" t="s">
        <v>817</v>
      </c>
      <c r="E204" s="34" t="s">
        <v>818</v>
      </c>
      <c r="F204" s="46">
        <v>53</v>
      </c>
      <c r="G204" s="46"/>
      <c r="H204" s="14">
        <f>IF(Assessment_Sheet[[#This Row],[NAME ]]="","",ROUND((G204/60*40),0))</f>
        <v>0</v>
      </c>
      <c r="I204" s="15">
        <f t="shared" si="4"/>
        <v>53</v>
      </c>
      <c r="J204" s="16" t="str">
        <f>IF(B204="","",IF(OR(F204="",G204=""),"IC",VLOOKUP(I204,Scale[],2,1)))</f>
        <v>IC</v>
      </c>
    </row>
    <row r="205" spans="1:10" x14ac:dyDescent="0.35">
      <c r="A205" s="34">
        <v>199</v>
      </c>
      <c r="B205" s="35" t="s">
        <v>620</v>
      </c>
      <c r="C205" s="34" t="s">
        <v>230</v>
      </c>
      <c r="D205" s="34" t="s">
        <v>817</v>
      </c>
      <c r="E205" s="34" t="s">
        <v>818</v>
      </c>
      <c r="F205" s="46">
        <v>50</v>
      </c>
      <c r="G205" s="46"/>
      <c r="H205" s="14">
        <f>IF(Assessment_Sheet[[#This Row],[NAME ]]="","",ROUND((G205/60*40),0))</f>
        <v>0</v>
      </c>
      <c r="I205" s="15">
        <f t="shared" si="4"/>
        <v>50</v>
      </c>
      <c r="J205" s="16" t="str">
        <f>IF(B205="","",IF(OR(F205="",G205=""),"IC",VLOOKUP(I205,Scale[],2,1)))</f>
        <v>IC</v>
      </c>
    </row>
    <row r="206" spans="1:10" x14ac:dyDescent="0.35">
      <c r="A206" s="34">
        <v>200</v>
      </c>
      <c r="B206" s="35" t="s">
        <v>621</v>
      </c>
      <c r="C206" s="34" t="s">
        <v>231</v>
      </c>
      <c r="D206" s="34" t="s">
        <v>817</v>
      </c>
      <c r="E206" s="34" t="s">
        <v>818</v>
      </c>
      <c r="F206" s="46">
        <v>55</v>
      </c>
      <c r="G206" s="46"/>
      <c r="H206" s="14">
        <f>IF(Assessment_Sheet[[#This Row],[NAME ]]="","",ROUND((G206/60*40),0))</f>
        <v>0</v>
      </c>
      <c r="I206" s="15">
        <f t="shared" si="4"/>
        <v>55</v>
      </c>
      <c r="J206" s="16" t="str">
        <f>IF(B206="","",IF(OR(F206="",G206=""),"IC",VLOOKUP(I206,Scale[],2,1)))</f>
        <v>IC</v>
      </c>
    </row>
    <row r="207" spans="1:10" x14ac:dyDescent="0.35">
      <c r="A207" s="34">
        <v>201</v>
      </c>
      <c r="B207" s="35" t="s">
        <v>622</v>
      </c>
      <c r="C207" s="34" t="s">
        <v>232</v>
      </c>
      <c r="D207" s="34" t="s">
        <v>817</v>
      </c>
      <c r="E207" s="34" t="s">
        <v>818</v>
      </c>
      <c r="F207" s="46"/>
      <c r="G207" s="46"/>
      <c r="H207" s="14">
        <f>IF(Assessment_Sheet[[#This Row],[NAME ]]="","",ROUND((G207/60*40),0))</f>
        <v>0</v>
      </c>
      <c r="I207" s="15">
        <f t="shared" si="4"/>
        <v>0</v>
      </c>
      <c r="J207" s="16" t="str">
        <f>IF(B207="","",IF(OR(F207="",G207=""),"IC",VLOOKUP(I207,Scale[],2,1)))</f>
        <v>IC</v>
      </c>
    </row>
    <row r="208" spans="1:10" x14ac:dyDescent="0.35">
      <c r="A208" s="34">
        <v>202</v>
      </c>
      <c r="B208" s="35" t="s">
        <v>623</v>
      </c>
      <c r="C208" s="34" t="s">
        <v>233</v>
      </c>
      <c r="D208" s="34" t="s">
        <v>817</v>
      </c>
      <c r="E208" s="34" t="s">
        <v>818</v>
      </c>
      <c r="F208" s="46">
        <v>56</v>
      </c>
      <c r="G208" s="46"/>
      <c r="H208" s="14">
        <f>IF(Assessment_Sheet[[#This Row],[NAME ]]="","",ROUND((G208/60*40),0))</f>
        <v>0</v>
      </c>
      <c r="I208" s="15">
        <f t="shared" si="4"/>
        <v>56</v>
      </c>
      <c r="J208" s="16" t="str">
        <f>IF(B208="","",IF(OR(F208="",G208=""),"IC",VLOOKUP(I208,Scale[],2,1)))</f>
        <v>IC</v>
      </c>
    </row>
    <row r="209" spans="1:10" x14ac:dyDescent="0.35">
      <c r="A209" s="34">
        <v>203</v>
      </c>
      <c r="B209" s="35" t="s">
        <v>624</v>
      </c>
      <c r="C209" s="34" t="s">
        <v>234</v>
      </c>
      <c r="D209" s="34" t="s">
        <v>817</v>
      </c>
      <c r="E209" s="34" t="s">
        <v>818</v>
      </c>
      <c r="F209" s="46"/>
      <c r="G209" s="46"/>
      <c r="H209" s="14">
        <f>IF(Assessment_Sheet[[#This Row],[NAME ]]="","",ROUND((G209/60*40),0))</f>
        <v>0</v>
      </c>
      <c r="I209" s="15">
        <f t="shared" si="4"/>
        <v>0</v>
      </c>
      <c r="J209" s="16" t="str">
        <f>IF(B209="","",IF(OR(F209="",G209=""),"IC",VLOOKUP(I209,Scale[],2,1)))</f>
        <v>IC</v>
      </c>
    </row>
    <row r="210" spans="1:10" x14ac:dyDescent="0.35">
      <c r="A210" s="34">
        <v>204</v>
      </c>
      <c r="B210" s="35" t="s">
        <v>625</v>
      </c>
      <c r="C210" s="34" t="s">
        <v>235</v>
      </c>
      <c r="D210" s="34" t="s">
        <v>817</v>
      </c>
      <c r="E210" s="34" t="s">
        <v>818</v>
      </c>
      <c r="F210" s="46">
        <v>55</v>
      </c>
      <c r="G210" s="46"/>
      <c r="H210" s="14">
        <f>IF(Assessment_Sheet[[#This Row],[NAME ]]="","",ROUND((G210/60*40),0))</f>
        <v>0</v>
      </c>
      <c r="I210" s="15">
        <f t="shared" si="4"/>
        <v>55</v>
      </c>
      <c r="J210" s="16" t="str">
        <f>IF(B210="","",IF(OR(F210="",G210=""),"IC",VLOOKUP(I210,Scale[],2,1)))</f>
        <v>IC</v>
      </c>
    </row>
    <row r="211" spans="1:10" x14ac:dyDescent="0.35">
      <c r="A211" s="34">
        <v>205</v>
      </c>
      <c r="B211" s="35" t="s">
        <v>626</v>
      </c>
      <c r="C211" s="34" t="s">
        <v>236</v>
      </c>
      <c r="D211" s="34" t="s">
        <v>817</v>
      </c>
      <c r="E211" s="34" t="s">
        <v>818</v>
      </c>
      <c r="F211" s="46">
        <v>53</v>
      </c>
      <c r="G211" s="46"/>
      <c r="H211" s="14">
        <f>IF(Assessment_Sheet[[#This Row],[NAME ]]="","",ROUND((G211/60*40),0))</f>
        <v>0</v>
      </c>
      <c r="I211" s="15">
        <f t="shared" si="4"/>
        <v>53</v>
      </c>
      <c r="J211" s="16" t="str">
        <f>IF(B211="","",IF(OR(F211="",G211=""),"IC",VLOOKUP(I211,Scale[],2,1)))</f>
        <v>IC</v>
      </c>
    </row>
    <row r="212" spans="1:10" x14ac:dyDescent="0.35">
      <c r="A212" s="34">
        <v>206</v>
      </c>
      <c r="B212" s="35" t="s">
        <v>627</v>
      </c>
      <c r="C212" s="34" t="s">
        <v>237</v>
      </c>
      <c r="D212" s="34" t="s">
        <v>817</v>
      </c>
      <c r="E212" s="34" t="s">
        <v>818</v>
      </c>
      <c r="F212" s="46">
        <v>56</v>
      </c>
      <c r="G212" s="46"/>
      <c r="H212" s="14">
        <f>IF(Assessment_Sheet[[#This Row],[NAME ]]="","",ROUND((G212/60*40),0))</f>
        <v>0</v>
      </c>
      <c r="I212" s="15">
        <f t="shared" si="4"/>
        <v>56</v>
      </c>
      <c r="J212" s="16" t="str">
        <f>IF(B212="","",IF(OR(F212="",G212=""),"IC",VLOOKUP(I212,Scale[],2,1)))</f>
        <v>IC</v>
      </c>
    </row>
    <row r="213" spans="1:10" x14ac:dyDescent="0.35">
      <c r="A213" s="34">
        <v>207</v>
      </c>
      <c r="B213" s="35" t="s">
        <v>628</v>
      </c>
      <c r="C213" s="34" t="s">
        <v>238</v>
      </c>
      <c r="D213" s="34" t="s">
        <v>817</v>
      </c>
      <c r="E213" s="34" t="s">
        <v>818</v>
      </c>
      <c r="F213" s="46"/>
      <c r="G213" s="46"/>
      <c r="H213" s="14">
        <f>IF(Assessment_Sheet[[#This Row],[NAME ]]="","",ROUND((G213/60*40),0))</f>
        <v>0</v>
      </c>
      <c r="I213" s="15">
        <f t="shared" si="4"/>
        <v>0</v>
      </c>
      <c r="J213" s="16" t="str">
        <f>IF(B213="","",IF(OR(F213="",G213=""),"IC",VLOOKUP(I213,Scale[],2,1)))</f>
        <v>IC</v>
      </c>
    </row>
    <row r="214" spans="1:10" x14ac:dyDescent="0.35">
      <c r="A214" s="34">
        <v>208</v>
      </c>
      <c r="B214" s="35" t="s">
        <v>629</v>
      </c>
      <c r="C214" s="34" t="s">
        <v>239</v>
      </c>
      <c r="D214" s="34" t="s">
        <v>817</v>
      </c>
      <c r="E214" s="34" t="s">
        <v>818</v>
      </c>
      <c r="F214" s="46">
        <v>55</v>
      </c>
      <c r="G214" s="46"/>
      <c r="H214" s="14">
        <f>IF(Assessment_Sheet[[#This Row],[NAME ]]="","",ROUND((G214/60*40),0))</f>
        <v>0</v>
      </c>
      <c r="I214" s="15">
        <f t="shared" si="4"/>
        <v>55</v>
      </c>
      <c r="J214" s="16" t="str">
        <f>IF(B214="","",IF(OR(F214="",G214=""),"IC",VLOOKUP(I214,Scale[],2,1)))</f>
        <v>IC</v>
      </c>
    </row>
    <row r="215" spans="1:10" x14ac:dyDescent="0.35">
      <c r="A215" s="34">
        <v>209</v>
      </c>
      <c r="B215" s="35" t="s">
        <v>630</v>
      </c>
      <c r="C215" s="34" t="s">
        <v>240</v>
      </c>
      <c r="D215" s="34" t="s">
        <v>817</v>
      </c>
      <c r="E215" s="34" t="s">
        <v>818</v>
      </c>
      <c r="F215" s="46">
        <v>50</v>
      </c>
      <c r="G215" s="46"/>
      <c r="H215" s="14">
        <f>IF(Assessment_Sheet[[#This Row],[NAME ]]="","",ROUND((G215/60*40),0))</f>
        <v>0</v>
      </c>
      <c r="I215" s="15">
        <f t="shared" si="4"/>
        <v>50</v>
      </c>
      <c r="J215" s="16" t="str">
        <f>IF(B215="","",IF(OR(F215="",G215=""),"IC",VLOOKUP(I215,Scale[],2,1)))</f>
        <v>IC</v>
      </c>
    </row>
    <row r="216" spans="1:10" x14ac:dyDescent="0.35">
      <c r="A216" s="34">
        <v>210</v>
      </c>
      <c r="B216" s="35" t="s">
        <v>631</v>
      </c>
      <c r="C216" s="34" t="s">
        <v>241</v>
      </c>
      <c r="D216" s="34" t="s">
        <v>817</v>
      </c>
      <c r="E216" s="34" t="s">
        <v>818</v>
      </c>
      <c r="F216" s="46">
        <v>50</v>
      </c>
      <c r="G216" s="46"/>
      <c r="H216" s="14">
        <f>IF(Assessment_Sheet[[#This Row],[NAME ]]="","",ROUND((G216/60*40),0))</f>
        <v>0</v>
      </c>
      <c r="I216" s="15">
        <f t="shared" si="4"/>
        <v>50</v>
      </c>
      <c r="J216" s="16" t="str">
        <f>IF(B216="","",IF(OR(F216="",G216=""),"IC",VLOOKUP(I216,Scale[],2,1)))</f>
        <v>IC</v>
      </c>
    </row>
    <row r="217" spans="1:10" x14ac:dyDescent="0.35">
      <c r="A217" s="34">
        <v>211</v>
      </c>
      <c r="B217" s="35" t="s">
        <v>632</v>
      </c>
      <c r="C217" s="34" t="s">
        <v>242</v>
      </c>
      <c r="D217" s="34" t="s">
        <v>817</v>
      </c>
      <c r="E217" s="34" t="s">
        <v>818</v>
      </c>
      <c r="F217" s="46"/>
      <c r="G217" s="46"/>
      <c r="H217" s="14">
        <f>IF(Assessment_Sheet[[#This Row],[NAME ]]="","",ROUND((G217/60*40),0))</f>
        <v>0</v>
      </c>
      <c r="I217" s="15">
        <f t="shared" si="4"/>
        <v>0</v>
      </c>
      <c r="J217" s="16" t="str">
        <f>IF(B217="","",IF(OR(F217="",G217=""),"IC",VLOOKUP(I217,Scale[],2,1)))</f>
        <v>IC</v>
      </c>
    </row>
    <row r="218" spans="1:10" x14ac:dyDescent="0.35">
      <c r="A218" s="34">
        <v>212</v>
      </c>
      <c r="B218" s="35" t="s">
        <v>633</v>
      </c>
      <c r="C218" s="34" t="s">
        <v>243</v>
      </c>
      <c r="D218" s="34" t="s">
        <v>817</v>
      </c>
      <c r="E218" s="34" t="s">
        <v>818</v>
      </c>
      <c r="F218" s="46">
        <v>52</v>
      </c>
      <c r="G218" s="46"/>
      <c r="H218" s="14">
        <f>IF(Assessment_Sheet[[#This Row],[NAME ]]="","",ROUND((G218/60*40),0))</f>
        <v>0</v>
      </c>
      <c r="I218" s="15">
        <f t="shared" si="4"/>
        <v>52</v>
      </c>
      <c r="J218" s="16" t="str">
        <f>IF(B218="","",IF(OR(F218="",G218=""),"IC",VLOOKUP(I218,Scale[],2,1)))</f>
        <v>IC</v>
      </c>
    </row>
    <row r="219" spans="1:10" x14ac:dyDescent="0.35">
      <c r="A219" s="34">
        <v>213</v>
      </c>
      <c r="B219" s="35" t="s">
        <v>634</v>
      </c>
      <c r="C219" s="34" t="s">
        <v>244</v>
      </c>
      <c r="D219" s="34" t="s">
        <v>817</v>
      </c>
      <c r="E219" s="34" t="s">
        <v>818</v>
      </c>
      <c r="F219" s="46">
        <v>52</v>
      </c>
      <c r="G219" s="46"/>
      <c r="H219" s="14">
        <f>IF(Assessment_Sheet[[#This Row],[NAME ]]="","",ROUND((G219/60*40),0))</f>
        <v>0</v>
      </c>
      <c r="I219" s="15">
        <f t="shared" si="4"/>
        <v>52</v>
      </c>
      <c r="J219" s="16" t="str">
        <f>IF(B219="","",IF(OR(F219="",G219=""),"IC",VLOOKUP(I219,Scale[],2,1)))</f>
        <v>IC</v>
      </c>
    </row>
    <row r="220" spans="1:10" x14ac:dyDescent="0.35">
      <c r="A220" s="34">
        <v>214</v>
      </c>
      <c r="B220" s="35" t="s">
        <v>635</v>
      </c>
      <c r="C220" s="34" t="s">
        <v>245</v>
      </c>
      <c r="D220" s="34" t="s">
        <v>817</v>
      </c>
      <c r="E220" s="34" t="s">
        <v>818</v>
      </c>
      <c r="F220" s="46"/>
      <c r="G220" s="46"/>
      <c r="H220" s="14">
        <f>IF(Assessment_Sheet[[#This Row],[NAME ]]="","",ROUND((G220/60*40),0))</f>
        <v>0</v>
      </c>
      <c r="I220" s="15">
        <f t="shared" si="4"/>
        <v>0</v>
      </c>
      <c r="J220" s="16" t="str">
        <f>IF(B220="","",IF(OR(F220="",G220=""),"IC",VLOOKUP(I220,Scale[],2,1)))</f>
        <v>IC</v>
      </c>
    </row>
    <row r="221" spans="1:10" x14ac:dyDescent="0.35">
      <c r="A221" s="34">
        <v>215</v>
      </c>
      <c r="B221" s="35" t="s">
        <v>636</v>
      </c>
      <c r="C221" s="34" t="s">
        <v>246</v>
      </c>
      <c r="D221" s="34" t="s">
        <v>817</v>
      </c>
      <c r="E221" s="34" t="s">
        <v>818</v>
      </c>
      <c r="F221" s="46">
        <v>54</v>
      </c>
      <c r="G221" s="46"/>
      <c r="H221" s="14">
        <f>IF(Assessment_Sheet[[#This Row],[NAME ]]="","",ROUND((G221/60*40),0))</f>
        <v>0</v>
      </c>
      <c r="I221" s="15">
        <f t="shared" si="4"/>
        <v>54</v>
      </c>
      <c r="J221" s="16" t="str">
        <f>IF(B221="","",IF(OR(F221="",G221=""),"IC",VLOOKUP(I221,Scale[],2,1)))</f>
        <v>IC</v>
      </c>
    </row>
    <row r="222" spans="1:10" x14ac:dyDescent="0.35">
      <c r="A222" s="34">
        <v>216</v>
      </c>
      <c r="B222" s="35" t="s">
        <v>637</v>
      </c>
      <c r="C222" s="34" t="s">
        <v>247</v>
      </c>
      <c r="D222" s="34" t="s">
        <v>817</v>
      </c>
      <c r="E222" s="34" t="s">
        <v>818</v>
      </c>
      <c r="F222" s="46">
        <v>56</v>
      </c>
      <c r="G222" s="46"/>
      <c r="H222" s="14">
        <f>IF(Assessment_Sheet[[#This Row],[NAME ]]="","",ROUND((G222/60*40),0))</f>
        <v>0</v>
      </c>
      <c r="I222" s="15">
        <f t="shared" si="4"/>
        <v>56</v>
      </c>
      <c r="J222" s="16" t="str">
        <f>IF(B222="","",IF(OR(F222="",G222=""),"IC",VLOOKUP(I222,Scale[],2,1)))</f>
        <v>IC</v>
      </c>
    </row>
    <row r="223" spans="1:10" x14ac:dyDescent="0.35">
      <c r="A223" s="34">
        <v>217</v>
      </c>
      <c r="B223" s="35" t="s">
        <v>638</v>
      </c>
      <c r="C223" s="34" t="s">
        <v>248</v>
      </c>
      <c r="D223" s="34" t="s">
        <v>817</v>
      </c>
      <c r="E223" s="34" t="s">
        <v>818</v>
      </c>
      <c r="F223" s="46">
        <v>56</v>
      </c>
      <c r="G223" s="46"/>
      <c r="H223" s="14">
        <f>IF(Assessment_Sheet[[#This Row],[NAME ]]="","",ROUND((G223/60*40),0))</f>
        <v>0</v>
      </c>
      <c r="I223" s="15">
        <f t="shared" si="4"/>
        <v>56</v>
      </c>
      <c r="J223" s="16" t="str">
        <f>IF(B223="","",IF(OR(F223="",G223=""),"IC",VLOOKUP(I223,Scale[],2,1)))</f>
        <v>IC</v>
      </c>
    </row>
    <row r="224" spans="1:10" x14ac:dyDescent="0.35">
      <c r="A224" s="34">
        <v>218</v>
      </c>
      <c r="B224" s="35" t="s">
        <v>639</v>
      </c>
      <c r="C224" s="34" t="s">
        <v>249</v>
      </c>
      <c r="D224" s="34" t="s">
        <v>817</v>
      </c>
      <c r="E224" s="34" t="s">
        <v>818</v>
      </c>
      <c r="F224" s="46">
        <v>54</v>
      </c>
      <c r="G224" s="46"/>
      <c r="H224" s="14">
        <f>IF(Assessment_Sheet[[#This Row],[NAME ]]="","",ROUND((G224/60*40),0))</f>
        <v>0</v>
      </c>
      <c r="I224" s="15">
        <f t="shared" si="4"/>
        <v>54</v>
      </c>
      <c r="J224" s="16" t="str">
        <f>IF(B224="","",IF(OR(F224="",G224=""),"IC",VLOOKUP(I224,Scale[],2,1)))</f>
        <v>IC</v>
      </c>
    </row>
    <row r="225" spans="1:10" x14ac:dyDescent="0.35">
      <c r="A225" s="34">
        <v>219</v>
      </c>
      <c r="B225" s="35" t="s">
        <v>640</v>
      </c>
      <c r="C225" s="34" t="s">
        <v>250</v>
      </c>
      <c r="D225" s="34" t="s">
        <v>817</v>
      </c>
      <c r="E225" s="34" t="s">
        <v>818</v>
      </c>
      <c r="F225" s="46">
        <v>51</v>
      </c>
      <c r="G225" s="46"/>
      <c r="H225" s="14">
        <f>IF(Assessment_Sheet[[#This Row],[NAME ]]="","",ROUND((G225/60*40),0))</f>
        <v>0</v>
      </c>
      <c r="I225" s="15">
        <f t="shared" si="4"/>
        <v>51</v>
      </c>
      <c r="J225" s="16" t="str">
        <f>IF(B225="","",IF(OR(F225="",G225=""),"IC",VLOOKUP(I225,Scale[],2,1)))</f>
        <v>IC</v>
      </c>
    </row>
    <row r="226" spans="1:10" x14ac:dyDescent="0.35">
      <c r="A226" s="34">
        <v>220</v>
      </c>
      <c r="B226" s="35" t="s">
        <v>641</v>
      </c>
      <c r="C226" s="34" t="s">
        <v>251</v>
      </c>
      <c r="D226" s="34" t="s">
        <v>817</v>
      </c>
      <c r="E226" s="34" t="s">
        <v>818</v>
      </c>
      <c r="F226" s="46">
        <v>50</v>
      </c>
      <c r="G226" s="46"/>
      <c r="H226" s="14">
        <f>IF(Assessment_Sheet[[#This Row],[NAME ]]="","",ROUND((G226/60*40),0))</f>
        <v>0</v>
      </c>
      <c r="I226" s="15">
        <f t="shared" si="4"/>
        <v>50</v>
      </c>
      <c r="J226" s="16" t="str">
        <f>IF(B226="","",IF(OR(F226="",G226=""),"IC",VLOOKUP(I226,Scale[],2,1)))</f>
        <v>IC</v>
      </c>
    </row>
    <row r="227" spans="1:10" x14ac:dyDescent="0.35">
      <c r="A227" s="34">
        <v>221</v>
      </c>
      <c r="B227" s="35" t="s">
        <v>642</v>
      </c>
      <c r="C227" s="34" t="s">
        <v>252</v>
      </c>
      <c r="D227" s="34" t="s">
        <v>817</v>
      </c>
      <c r="E227" s="34" t="s">
        <v>818</v>
      </c>
      <c r="F227" s="46">
        <v>52</v>
      </c>
      <c r="G227" s="46"/>
      <c r="H227" s="14">
        <f>IF(Assessment_Sheet[[#This Row],[NAME ]]="","",ROUND((G227/60*40),0))</f>
        <v>0</v>
      </c>
      <c r="I227" s="15">
        <f t="shared" si="4"/>
        <v>52</v>
      </c>
      <c r="J227" s="16" t="str">
        <f>IF(B227="","",IF(OR(F227="",G227=""),"IC",VLOOKUP(I227,Scale[],2,1)))</f>
        <v>IC</v>
      </c>
    </row>
    <row r="228" spans="1:10" x14ac:dyDescent="0.35">
      <c r="A228" s="34">
        <v>222</v>
      </c>
      <c r="B228" s="35" t="s">
        <v>643</v>
      </c>
      <c r="C228" s="34" t="s">
        <v>253</v>
      </c>
      <c r="D228" s="34" t="s">
        <v>817</v>
      </c>
      <c r="E228" s="34" t="s">
        <v>818</v>
      </c>
      <c r="F228" s="46">
        <v>42</v>
      </c>
      <c r="G228" s="46"/>
      <c r="H228" s="14">
        <f>IF(Assessment_Sheet[[#This Row],[NAME ]]="","",ROUND((G228/60*40),0))</f>
        <v>0</v>
      </c>
      <c r="I228" s="15">
        <f t="shared" si="4"/>
        <v>42</v>
      </c>
      <c r="J228" s="16" t="str">
        <f>IF(B228="","",IF(OR(F228="",G228=""),"IC",VLOOKUP(I228,Scale[],2,1)))</f>
        <v>IC</v>
      </c>
    </row>
    <row r="229" spans="1:10" x14ac:dyDescent="0.35">
      <c r="A229" s="34">
        <v>223</v>
      </c>
      <c r="B229" s="35" t="s">
        <v>644</v>
      </c>
      <c r="C229" s="34" t="s">
        <v>254</v>
      </c>
      <c r="D229" s="34" t="s">
        <v>817</v>
      </c>
      <c r="E229" s="34" t="s">
        <v>818</v>
      </c>
      <c r="F229" s="46">
        <v>53</v>
      </c>
      <c r="G229" s="46"/>
      <c r="H229" s="14">
        <f>IF(Assessment_Sheet[[#This Row],[NAME ]]="","",ROUND((G229/60*40),0))</f>
        <v>0</v>
      </c>
      <c r="I229" s="15">
        <f t="shared" si="4"/>
        <v>53</v>
      </c>
      <c r="J229" s="16" t="str">
        <f>IF(B229="","",IF(OR(F229="",G229=""),"IC",VLOOKUP(I229,Scale[],2,1)))</f>
        <v>IC</v>
      </c>
    </row>
    <row r="230" spans="1:10" x14ac:dyDescent="0.35">
      <c r="A230" s="34">
        <v>224</v>
      </c>
      <c r="B230" s="35" t="s">
        <v>645</v>
      </c>
      <c r="C230" s="34" t="s">
        <v>255</v>
      </c>
      <c r="D230" s="34" t="s">
        <v>817</v>
      </c>
      <c r="E230" s="34" t="s">
        <v>818</v>
      </c>
      <c r="F230" s="46">
        <v>54</v>
      </c>
      <c r="G230" s="46"/>
      <c r="H230" s="14">
        <f>IF(Assessment_Sheet[[#This Row],[NAME ]]="","",ROUND((G230/60*40),0))</f>
        <v>0</v>
      </c>
      <c r="I230" s="15">
        <f t="shared" si="4"/>
        <v>54</v>
      </c>
      <c r="J230" s="16" t="str">
        <f>IF(B230="","",IF(OR(F230="",G230=""),"IC",VLOOKUP(I230,Scale[],2,1)))</f>
        <v>IC</v>
      </c>
    </row>
    <row r="231" spans="1:10" x14ac:dyDescent="0.35">
      <c r="A231" s="34">
        <v>225</v>
      </c>
      <c r="B231" s="35" t="s">
        <v>646</v>
      </c>
      <c r="C231" s="34" t="s">
        <v>256</v>
      </c>
      <c r="D231" s="34" t="s">
        <v>817</v>
      </c>
      <c r="E231" s="34" t="s">
        <v>818</v>
      </c>
      <c r="F231" s="46"/>
      <c r="G231" s="46"/>
      <c r="H231" s="14">
        <f>IF(Assessment_Sheet[[#This Row],[NAME ]]="","",ROUND((G231/60*40),0))</f>
        <v>0</v>
      </c>
      <c r="I231" s="15">
        <f t="shared" si="4"/>
        <v>0</v>
      </c>
      <c r="J231" s="16" t="str">
        <f>IF(B231="","",IF(OR(F231="",G231=""),"IC",VLOOKUP(I231,Scale[],2,1)))</f>
        <v>IC</v>
      </c>
    </row>
    <row r="232" spans="1:10" x14ac:dyDescent="0.35">
      <c r="A232" s="34">
        <v>226</v>
      </c>
      <c r="B232" s="35" t="s">
        <v>647</v>
      </c>
      <c r="C232" s="34" t="s">
        <v>257</v>
      </c>
      <c r="D232" s="34" t="s">
        <v>817</v>
      </c>
      <c r="E232" s="34" t="s">
        <v>818</v>
      </c>
      <c r="F232" s="46">
        <v>49</v>
      </c>
      <c r="G232" s="46"/>
      <c r="H232" s="14">
        <f>IF(Assessment_Sheet[[#This Row],[NAME ]]="","",ROUND((G232/60*40),0))</f>
        <v>0</v>
      </c>
      <c r="I232" s="15">
        <f t="shared" si="4"/>
        <v>49</v>
      </c>
      <c r="J232" s="16" t="str">
        <f>IF(B232="","",IF(OR(F232="",G232=""),"IC",VLOOKUP(I232,Scale[],2,1)))</f>
        <v>IC</v>
      </c>
    </row>
    <row r="233" spans="1:10" x14ac:dyDescent="0.35">
      <c r="A233" s="34">
        <v>227</v>
      </c>
      <c r="B233" s="35" t="s">
        <v>648</v>
      </c>
      <c r="C233" s="34" t="s">
        <v>258</v>
      </c>
      <c r="D233" s="34" t="s">
        <v>817</v>
      </c>
      <c r="E233" s="34" t="s">
        <v>818</v>
      </c>
      <c r="F233" s="46">
        <v>56</v>
      </c>
      <c r="G233" s="46"/>
      <c r="H233" s="14">
        <f>IF(Assessment_Sheet[[#This Row],[NAME ]]="","",ROUND((G233/60*40),0))</f>
        <v>0</v>
      </c>
      <c r="I233" s="15">
        <f t="shared" si="4"/>
        <v>56</v>
      </c>
      <c r="J233" s="16" t="str">
        <f>IF(B233="","",IF(OR(F233="",G233=""),"IC",VLOOKUP(I233,Scale[],2,1)))</f>
        <v>IC</v>
      </c>
    </row>
    <row r="234" spans="1:10" x14ac:dyDescent="0.35">
      <c r="A234" s="34">
        <v>228</v>
      </c>
      <c r="B234" s="35" t="s">
        <v>649</v>
      </c>
      <c r="C234" s="34" t="s">
        <v>259</v>
      </c>
      <c r="D234" s="34" t="s">
        <v>817</v>
      </c>
      <c r="E234" s="34" t="s">
        <v>818</v>
      </c>
      <c r="F234" s="46">
        <v>55</v>
      </c>
      <c r="G234" s="46"/>
      <c r="H234" s="14">
        <f>IF(Assessment_Sheet[[#This Row],[NAME ]]="","",ROUND((G234/60*40),0))</f>
        <v>0</v>
      </c>
      <c r="I234" s="15">
        <f t="shared" si="4"/>
        <v>55</v>
      </c>
      <c r="J234" s="16" t="str">
        <f>IF(B234="","",IF(OR(F234="",G234=""),"IC",VLOOKUP(I234,Scale[],2,1)))</f>
        <v>IC</v>
      </c>
    </row>
    <row r="235" spans="1:10" x14ac:dyDescent="0.35">
      <c r="A235" s="34">
        <v>229</v>
      </c>
      <c r="B235" s="35" t="s">
        <v>650</v>
      </c>
      <c r="C235" s="34" t="s">
        <v>260</v>
      </c>
      <c r="D235" s="34" t="s">
        <v>817</v>
      </c>
      <c r="E235" s="34" t="s">
        <v>818</v>
      </c>
      <c r="F235" s="46"/>
      <c r="G235" s="46"/>
      <c r="H235" s="14">
        <f>IF(Assessment_Sheet[[#This Row],[NAME ]]="","",ROUND((G235/60*40),0))</f>
        <v>0</v>
      </c>
      <c r="I235" s="15">
        <f t="shared" si="4"/>
        <v>0</v>
      </c>
      <c r="J235" s="16" t="str">
        <f>IF(B235="","",IF(OR(F235="",G235=""),"IC",VLOOKUP(I235,Scale[],2,1)))</f>
        <v>IC</v>
      </c>
    </row>
    <row r="236" spans="1:10" x14ac:dyDescent="0.35">
      <c r="A236" s="34">
        <v>230</v>
      </c>
      <c r="B236" s="35" t="s">
        <v>651</v>
      </c>
      <c r="C236" s="34" t="s">
        <v>261</v>
      </c>
      <c r="D236" s="34" t="s">
        <v>817</v>
      </c>
      <c r="E236" s="34" t="s">
        <v>818</v>
      </c>
      <c r="F236" s="46">
        <v>56</v>
      </c>
      <c r="G236" s="46"/>
      <c r="H236" s="14">
        <f>IF(Assessment_Sheet[[#This Row],[NAME ]]="","",ROUND((G236/60*40),0))</f>
        <v>0</v>
      </c>
      <c r="I236" s="15">
        <f t="shared" si="4"/>
        <v>56</v>
      </c>
      <c r="J236" s="16" t="str">
        <f>IF(B236="","",IF(OR(F236="",G236=""),"IC",VLOOKUP(I236,Scale[],2,1)))</f>
        <v>IC</v>
      </c>
    </row>
    <row r="237" spans="1:10" x14ac:dyDescent="0.35">
      <c r="A237" s="34">
        <v>231</v>
      </c>
      <c r="B237" s="35" t="s">
        <v>652</v>
      </c>
      <c r="C237" s="34" t="s">
        <v>262</v>
      </c>
      <c r="D237" s="34" t="s">
        <v>817</v>
      </c>
      <c r="E237" s="34" t="s">
        <v>818</v>
      </c>
      <c r="F237" s="46">
        <v>54</v>
      </c>
      <c r="G237" s="46"/>
      <c r="H237" s="14">
        <f>IF(Assessment_Sheet[[#This Row],[NAME ]]="","",ROUND((G237/60*40),0))</f>
        <v>0</v>
      </c>
      <c r="I237" s="15">
        <f t="shared" si="4"/>
        <v>54</v>
      </c>
      <c r="J237" s="16" t="str">
        <f>IF(B237="","",IF(OR(F237="",G237=""),"IC",VLOOKUP(I237,Scale[],2,1)))</f>
        <v>IC</v>
      </c>
    </row>
    <row r="238" spans="1:10" x14ac:dyDescent="0.35">
      <c r="A238" s="34">
        <v>232</v>
      </c>
      <c r="B238" s="35" t="s">
        <v>653</v>
      </c>
      <c r="C238" s="34" t="s">
        <v>263</v>
      </c>
      <c r="D238" s="34" t="s">
        <v>817</v>
      </c>
      <c r="E238" s="34" t="s">
        <v>818</v>
      </c>
      <c r="F238" s="46">
        <v>55</v>
      </c>
      <c r="G238" s="46"/>
      <c r="H238" s="14">
        <f>IF(Assessment_Sheet[[#This Row],[NAME ]]="","",ROUND((G238/60*40),0))</f>
        <v>0</v>
      </c>
      <c r="I238" s="15">
        <f t="shared" si="4"/>
        <v>55</v>
      </c>
      <c r="J238" s="16" t="str">
        <f>IF(B238="","",IF(OR(F238="",G238=""),"IC",VLOOKUP(I238,Scale[],2,1)))</f>
        <v>IC</v>
      </c>
    </row>
    <row r="239" spans="1:10" x14ac:dyDescent="0.35">
      <c r="A239" s="34">
        <v>233</v>
      </c>
      <c r="B239" s="35" t="s">
        <v>654</v>
      </c>
      <c r="C239" s="34" t="s">
        <v>264</v>
      </c>
      <c r="D239" s="34" t="s">
        <v>817</v>
      </c>
      <c r="E239" s="34" t="s">
        <v>818</v>
      </c>
      <c r="F239" s="46">
        <v>52</v>
      </c>
      <c r="G239" s="46"/>
      <c r="H239" s="14">
        <f>IF(Assessment_Sheet[[#This Row],[NAME ]]="","",ROUND((G239/60*40),0))</f>
        <v>0</v>
      </c>
      <c r="I239" s="15">
        <f t="shared" si="4"/>
        <v>52</v>
      </c>
      <c r="J239" s="16" t="str">
        <f>IF(B239="","",IF(OR(F239="",G239=""),"IC",VLOOKUP(I239,Scale[],2,1)))</f>
        <v>IC</v>
      </c>
    </row>
    <row r="240" spans="1:10" x14ac:dyDescent="0.35">
      <c r="A240" s="34">
        <v>234</v>
      </c>
      <c r="B240" s="35" t="s">
        <v>655</v>
      </c>
      <c r="C240" s="34" t="s">
        <v>265</v>
      </c>
      <c r="D240" s="34" t="s">
        <v>817</v>
      </c>
      <c r="E240" s="34" t="s">
        <v>818</v>
      </c>
      <c r="F240" s="46"/>
      <c r="G240" s="46"/>
      <c r="H240" s="14">
        <f>IF(Assessment_Sheet[[#This Row],[NAME ]]="","",ROUND((G240/60*40),0))</f>
        <v>0</v>
      </c>
      <c r="I240" s="15">
        <f t="shared" si="4"/>
        <v>0</v>
      </c>
      <c r="J240" s="16" t="str">
        <f>IF(B240="","",IF(OR(F240="",G240=""),"IC",VLOOKUP(I240,Scale[],2,1)))</f>
        <v>IC</v>
      </c>
    </row>
    <row r="241" spans="1:10" x14ac:dyDescent="0.35">
      <c r="A241" s="34">
        <v>235</v>
      </c>
      <c r="B241" s="35" t="s">
        <v>656</v>
      </c>
      <c r="C241" s="34" t="s">
        <v>266</v>
      </c>
      <c r="D241" s="34" t="s">
        <v>817</v>
      </c>
      <c r="E241" s="34" t="s">
        <v>818</v>
      </c>
      <c r="F241" s="46">
        <v>55</v>
      </c>
      <c r="G241" s="46"/>
      <c r="H241" s="14">
        <f>IF(Assessment_Sheet[[#This Row],[NAME ]]="","",ROUND((G241/60*40),0))</f>
        <v>0</v>
      </c>
      <c r="I241" s="15">
        <f t="shared" si="4"/>
        <v>55</v>
      </c>
      <c r="J241" s="16" t="str">
        <f>IF(B241="","",IF(OR(F241="",G241=""),"IC",VLOOKUP(I241,Scale[],2,1)))</f>
        <v>IC</v>
      </c>
    </row>
    <row r="242" spans="1:10" x14ac:dyDescent="0.35">
      <c r="A242" s="34">
        <v>236</v>
      </c>
      <c r="B242" s="35" t="s">
        <v>657</v>
      </c>
      <c r="C242" s="34" t="s">
        <v>267</v>
      </c>
      <c r="D242" s="34" t="s">
        <v>817</v>
      </c>
      <c r="E242" s="34" t="s">
        <v>818</v>
      </c>
      <c r="F242" s="46">
        <v>49</v>
      </c>
      <c r="G242" s="46"/>
      <c r="H242" s="14">
        <f>IF(Assessment_Sheet[[#This Row],[NAME ]]="","",ROUND((G242/60*40),0))</f>
        <v>0</v>
      </c>
      <c r="I242" s="15">
        <f t="shared" si="4"/>
        <v>49</v>
      </c>
      <c r="J242" s="16" t="str">
        <f>IF(B242="","",IF(OR(F242="",G242=""),"IC",VLOOKUP(I242,Scale[],2,1)))</f>
        <v>IC</v>
      </c>
    </row>
    <row r="243" spans="1:10" x14ac:dyDescent="0.35">
      <c r="A243" s="34">
        <v>237</v>
      </c>
      <c r="B243" s="35" t="s">
        <v>658</v>
      </c>
      <c r="C243" s="34" t="s">
        <v>268</v>
      </c>
      <c r="D243" s="34" t="s">
        <v>817</v>
      </c>
      <c r="E243" s="34" t="s">
        <v>818</v>
      </c>
      <c r="F243" s="46">
        <v>47</v>
      </c>
      <c r="G243" s="46"/>
      <c r="H243" s="14">
        <f>IF(Assessment_Sheet[[#This Row],[NAME ]]="","",ROUND((G243/60*40),0))</f>
        <v>0</v>
      </c>
      <c r="I243" s="15">
        <f t="shared" si="4"/>
        <v>47</v>
      </c>
      <c r="J243" s="16" t="str">
        <f>IF(B243="","",IF(OR(F243="",G243=""),"IC",VLOOKUP(I243,Scale[],2,1)))</f>
        <v>IC</v>
      </c>
    </row>
    <row r="244" spans="1:10" x14ac:dyDescent="0.35">
      <c r="A244" s="34">
        <v>238</v>
      </c>
      <c r="B244" s="35" t="s">
        <v>659</v>
      </c>
      <c r="C244" s="34" t="s">
        <v>269</v>
      </c>
      <c r="D244" s="34" t="s">
        <v>817</v>
      </c>
      <c r="E244" s="34" t="s">
        <v>818</v>
      </c>
      <c r="F244" s="46">
        <v>42</v>
      </c>
      <c r="G244" s="46"/>
      <c r="H244" s="14">
        <f>IF(Assessment_Sheet[[#This Row],[NAME ]]="","",ROUND((G244/60*40),0))</f>
        <v>0</v>
      </c>
      <c r="I244" s="15">
        <f t="shared" si="4"/>
        <v>42</v>
      </c>
      <c r="J244" s="16" t="str">
        <f>IF(B244="","",IF(OR(F244="",G244=""),"IC",VLOOKUP(I244,Scale[],2,1)))</f>
        <v>IC</v>
      </c>
    </row>
    <row r="245" spans="1:10" x14ac:dyDescent="0.35">
      <c r="A245" s="34">
        <v>239</v>
      </c>
      <c r="B245" s="35" t="s">
        <v>660</v>
      </c>
      <c r="C245" s="34" t="s">
        <v>270</v>
      </c>
      <c r="D245" s="34" t="s">
        <v>817</v>
      </c>
      <c r="E245" s="34" t="s">
        <v>818</v>
      </c>
      <c r="F245" s="46">
        <v>55</v>
      </c>
      <c r="G245" s="46"/>
      <c r="H245" s="14">
        <f>IF(Assessment_Sheet[[#This Row],[NAME ]]="","",ROUND((G245/60*40),0))</f>
        <v>0</v>
      </c>
      <c r="I245" s="15">
        <f t="shared" si="4"/>
        <v>55</v>
      </c>
      <c r="J245" s="16" t="str">
        <f>IF(B245="","",IF(OR(F245="",G245=""),"IC",VLOOKUP(I245,Scale[],2,1)))</f>
        <v>IC</v>
      </c>
    </row>
    <row r="246" spans="1:10" x14ac:dyDescent="0.35">
      <c r="A246" s="34">
        <v>240</v>
      </c>
      <c r="B246" s="35" t="s">
        <v>661</v>
      </c>
      <c r="C246" s="34" t="s">
        <v>271</v>
      </c>
      <c r="D246" s="34" t="s">
        <v>817</v>
      </c>
      <c r="E246" s="34" t="s">
        <v>818</v>
      </c>
      <c r="F246" s="46">
        <v>56</v>
      </c>
      <c r="G246" s="46"/>
      <c r="H246" s="14">
        <f>IF(Assessment_Sheet[[#This Row],[NAME ]]="","",ROUND((G246/60*40),0))</f>
        <v>0</v>
      </c>
      <c r="I246" s="15">
        <f t="shared" si="4"/>
        <v>56</v>
      </c>
      <c r="J246" s="16" t="str">
        <f>IF(B246="","",IF(OR(F246="",G246=""),"IC",VLOOKUP(I246,Scale[],2,1)))</f>
        <v>IC</v>
      </c>
    </row>
    <row r="247" spans="1:10" x14ac:dyDescent="0.35">
      <c r="A247" s="34">
        <v>241</v>
      </c>
      <c r="B247" s="35" t="s">
        <v>662</v>
      </c>
      <c r="C247" s="34" t="s">
        <v>272</v>
      </c>
      <c r="D247" s="34" t="s">
        <v>817</v>
      </c>
      <c r="E247" s="34" t="s">
        <v>818</v>
      </c>
      <c r="F247" s="46">
        <v>56</v>
      </c>
      <c r="G247" s="46"/>
      <c r="H247" s="14">
        <f>IF(Assessment_Sheet[[#This Row],[NAME ]]="","",ROUND((G247/60*40),0))</f>
        <v>0</v>
      </c>
      <c r="I247" s="15">
        <f t="shared" si="4"/>
        <v>56</v>
      </c>
      <c r="J247" s="16" t="str">
        <f>IF(B247="","",IF(OR(F247="",G247=""),"IC",VLOOKUP(I247,Scale[],2,1)))</f>
        <v>IC</v>
      </c>
    </row>
    <row r="248" spans="1:10" x14ac:dyDescent="0.35">
      <c r="A248" s="34">
        <v>242</v>
      </c>
      <c r="B248" s="35" t="s">
        <v>663</v>
      </c>
      <c r="C248" s="34" t="s">
        <v>273</v>
      </c>
      <c r="D248" s="34" t="s">
        <v>817</v>
      </c>
      <c r="E248" s="34" t="s">
        <v>818</v>
      </c>
      <c r="F248" s="46">
        <v>55</v>
      </c>
      <c r="G248" s="46"/>
      <c r="H248" s="14">
        <f>IF(Assessment_Sheet[[#This Row],[NAME ]]="","",ROUND((G248/60*40),0))</f>
        <v>0</v>
      </c>
      <c r="I248" s="15">
        <f t="shared" si="4"/>
        <v>55</v>
      </c>
      <c r="J248" s="16" t="str">
        <f>IF(B248="","",IF(OR(F248="",G248=""),"IC",VLOOKUP(I248,Scale[],2,1)))</f>
        <v>IC</v>
      </c>
    </row>
    <row r="249" spans="1:10" x14ac:dyDescent="0.35">
      <c r="A249" s="34">
        <v>243</v>
      </c>
      <c r="B249" s="35" t="s">
        <v>664</v>
      </c>
      <c r="C249" s="34" t="s">
        <v>274</v>
      </c>
      <c r="D249" s="34" t="s">
        <v>817</v>
      </c>
      <c r="E249" s="34" t="s">
        <v>818</v>
      </c>
      <c r="F249" s="46">
        <v>53</v>
      </c>
      <c r="G249" s="46"/>
      <c r="H249" s="14">
        <f>IF(Assessment_Sheet[[#This Row],[NAME ]]="","",ROUND((G249/60*40),0))</f>
        <v>0</v>
      </c>
      <c r="I249" s="15">
        <f t="shared" si="4"/>
        <v>53</v>
      </c>
      <c r="J249" s="16" t="str">
        <f>IF(B249="","",IF(OR(F249="",G249=""),"IC",VLOOKUP(I249,Scale[],2,1)))</f>
        <v>IC</v>
      </c>
    </row>
    <row r="250" spans="1:10" x14ac:dyDescent="0.35">
      <c r="A250" s="34">
        <v>244</v>
      </c>
      <c r="B250" s="35" t="s">
        <v>665</v>
      </c>
      <c r="C250" s="34" t="s">
        <v>275</v>
      </c>
      <c r="D250" s="34" t="s">
        <v>817</v>
      </c>
      <c r="E250" s="34" t="s">
        <v>818</v>
      </c>
      <c r="F250" s="46">
        <v>53</v>
      </c>
      <c r="G250" s="46"/>
      <c r="H250" s="14">
        <f>IF(Assessment_Sheet[[#This Row],[NAME ]]="","",ROUND((G250/60*40),0))</f>
        <v>0</v>
      </c>
      <c r="I250" s="15">
        <f t="shared" si="4"/>
        <v>53</v>
      </c>
      <c r="J250" s="16" t="str">
        <f>IF(B250="","",IF(OR(F250="",G250=""),"IC",VLOOKUP(I250,Scale[],2,1)))</f>
        <v>IC</v>
      </c>
    </row>
    <row r="251" spans="1:10" x14ac:dyDescent="0.35">
      <c r="A251" s="34">
        <v>245</v>
      </c>
      <c r="B251" s="35" t="s">
        <v>666</v>
      </c>
      <c r="C251" s="34" t="s">
        <v>276</v>
      </c>
      <c r="D251" s="34" t="s">
        <v>817</v>
      </c>
      <c r="E251" s="34" t="s">
        <v>818</v>
      </c>
      <c r="F251" s="46">
        <v>56</v>
      </c>
      <c r="G251" s="46"/>
      <c r="H251" s="14">
        <f>IF(Assessment_Sheet[[#This Row],[NAME ]]="","",ROUND((G251/60*40),0))</f>
        <v>0</v>
      </c>
      <c r="I251" s="15">
        <f t="shared" si="4"/>
        <v>56</v>
      </c>
      <c r="J251" s="16" t="str">
        <f>IF(B251="","",IF(OR(F251="",G251=""),"IC",VLOOKUP(I251,Scale[],2,1)))</f>
        <v>IC</v>
      </c>
    </row>
    <row r="252" spans="1:10" x14ac:dyDescent="0.35">
      <c r="A252" s="34">
        <v>246</v>
      </c>
      <c r="B252" s="35" t="s">
        <v>667</v>
      </c>
      <c r="C252" s="34" t="s">
        <v>277</v>
      </c>
      <c r="D252" s="34" t="s">
        <v>817</v>
      </c>
      <c r="E252" s="34" t="s">
        <v>818</v>
      </c>
      <c r="F252" s="46">
        <v>53</v>
      </c>
      <c r="G252" s="46"/>
      <c r="H252" s="14">
        <f>IF(Assessment_Sheet[[#This Row],[NAME ]]="","",ROUND((G252/60*40),0))</f>
        <v>0</v>
      </c>
      <c r="I252" s="15">
        <f t="shared" si="4"/>
        <v>53</v>
      </c>
      <c r="J252" s="16" t="str">
        <f>IF(B252="","",IF(OR(F252="",G252=""),"IC",VLOOKUP(I252,Scale[],2,1)))</f>
        <v>IC</v>
      </c>
    </row>
    <row r="253" spans="1:10" x14ac:dyDescent="0.35">
      <c r="A253" s="34">
        <v>247</v>
      </c>
      <c r="B253" s="35" t="s">
        <v>668</v>
      </c>
      <c r="C253" s="34" t="s">
        <v>278</v>
      </c>
      <c r="D253" s="34" t="s">
        <v>817</v>
      </c>
      <c r="E253" s="34" t="s">
        <v>818</v>
      </c>
      <c r="F253" s="46">
        <v>55</v>
      </c>
      <c r="G253" s="46"/>
      <c r="H253" s="14">
        <f>IF(Assessment_Sheet[[#This Row],[NAME ]]="","",ROUND((G253/60*40),0))</f>
        <v>0</v>
      </c>
      <c r="I253" s="15">
        <f t="shared" si="4"/>
        <v>55</v>
      </c>
      <c r="J253" s="16" t="str">
        <f>IF(B253="","",IF(OR(F253="",G253=""),"IC",VLOOKUP(I253,Scale[],2,1)))</f>
        <v>IC</v>
      </c>
    </row>
    <row r="254" spans="1:10" x14ac:dyDescent="0.35">
      <c r="A254" s="34">
        <v>248</v>
      </c>
      <c r="B254" s="35" t="s">
        <v>669</v>
      </c>
      <c r="C254" s="34" t="s">
        <v>279</v>
      </c>
      <c r="D254" s="34" t="s">
        <v>817</v>
      </c>
      <c r="E254" s="34" t="s">
        <v>818</v>
      </c>
      <c r="F254" s="46">
        <v>55</v>
      </c>
      <c r="G254" s="46"/>
      <c r="H254" s="14">
        <f>IF(Assessment_Sheet[[#This Row],[NAME ]]="","",ROUND((G254/60*40),0))</f>
        <v>0</v>
      </c>
      <c r="I254" s="15">
        <f t="shared" si="4"/>
        <v>55</v>
      </c>
      <c r="J254" s="16" t="str">
        <f>IF(B254="","",IF(OR(F254="",G254=""),"IC",VLOOKUP(I254,Scale[],2,1)))</f>
        <v>IC</v>
      </c>
    </row>
    <row r="255" spans="1:10" x14ac:dyDescent="0.35">
      <c r="A255" s="34">
        <v>249</v>
      </c>
      <c r="B255" s="35" t="s">
        <v>670</v>
      </c>
      <c r="C255" s="34" t="s">
        <v>280</v>
      </c>
      <c r="D255" s="34" t="s">
        <v>817</v>
      </c>
      <c r="E255" s="34" t="s">
        <v>818</v>
      </c>
      <c r="F255" s="46">
        <v>55</v>
      </c>
      <c r="G255" s="46"/>
      <c r="H255" s="14">
        <f>IF(Assessment_Sheet[[#This Row],[NAME ]]="","",ROUND((G255/60*40),0))</f>
        <v>0</v>
      </c>
      <c r="I255" s="15">
        <f t="shared" si="4"/>
        <v>55</v>
      </c>
      <c r="J255" s="16" t="str">
        <f>IF(B255="","",IF(OR(F255="",G255=""),"IC",VLOOKUP(I255,Scale[],2,1)))</f>
        <v>IC</v>
      </c>
    </row>
    <row r="256" spans="1:10" x14ac:dyDescent="0.35">
      <c r="A256" s="34">
        <v>250</v>
      </c>
      <c r="B256" s="35" t="s">
        <v>671</v>
      </c>
      <c r="C256" s="34" t="s">
        <v>281</v>
      </c>
      <c r="D256" s="34" t="s">
        <v>817</v>
      </c>
      <c r="E256" s="34" t="s">
        <v>818</v>
      </c>
      <c r="F256" s="46">
        <v>52</v>
      </c>
      <c r="G256" s="46"/>
      <c r="H256" s="14">
        <f>IF(Assessment_Sheet[[#This Row],[NAME ]]="","",ROUND((G256/60*40),0))</f>
        <v>0</v>
      </c>
      <c r="I256" s="15">
        <f t="shared" si="4"/>
        <v>52</v>
      </c>
      <c r="J256" s="16" t="str">
        <f>IF(B256="","",IF(OR(F256="",G256=""),"IC",VLOOKUP(I256,Scale[],2,1)))</f>
        <v>IC</v>
      </c>
    </row>
    <row r="257" spans="1:10" x14ac:dyDescent="0.35">
      <c r="A257" s="34">
        <v>251</v>
      </c>
      <c r="B257" s="35" t="s">
        <v>672</v>
      </c>
      <c r="C257" s="34" t="s">
        <v>282</v>
      </c>
      <c r="D257" s="34" t="s">
        <v>817</v>
      </c>
      <c r="E257" s="34" t="s">
        <v>818</v>
      </c>
      <c r="F257" s="46">
        <v>54</v>
      </c>
      <c r="G257" s="46"/>
      <c r="H257" s="14">
        <f>IF(Assessment_Sheet[[#This Row],[NAME ]]="","",ROUND((G257/60*40),0))</f>
        <v>0</v>
      </c>
      <c r="I257" s="15">
        <f t="shared" si="4"/>
        <v>54</v>
      </c>
      <c r="J257" s="16" t="str">
        <f>IF(B257="","",IF(OR(F257="",G257=""),"IC",VLOOKUP(I257,Scale[],2,1)))</f>
        <v>IC</v>
      </c>
    </row>
    <row r="258" spans="1:10" x14ac:dyDescent="0.35">
      <c r="A258" s="34">
        <v>252</v>
      </c>
      <c r="B258" s="35" t="s">
        <v>673</v>
      </c>
      <c r="C258" s="34" t="s">
        <v>283</v>
      </c>
      <c r="D258" s="34" t="s">
        <v>817</v>
      </c>
      <c r="E258" s="34" t="s">
        <v>818</v>
      </c>
      <c r="F258" s="46">
        <v>56</v>
      </c>
      <c r="G258" s="46"/>
      <c r="H258" s="14">
        <f>IF(Assessment_Sheet[[#This Row],[NAME ]]="","",ROUND((G258/60*40),0))</f>
        <v>0</v>
      </c>
      <c r="I258" s="15">
        <f t="shared" si="4"/>
        <v>56</v>
      </c>
      <c r="J258" s="16" t="str">
        <f>IF(B258="","",IF(OR(F258="",G258=""),"IC",VLOOKUP(I258,Scale[],2,1)))</f>
        <v>IC</v>
      </c>
    </row>
    <row r="259" spans="1:10" x14ac:dyDescent="0.35">
      <c r="A259" s="34">
        <v>253</v>
      </c>
      <c r="B259" s="35" t="s">
        <v>674</v>
      </c>
      <c r="C259" s="34" t="s">
        <v>284</v>
      </c>
      <c r="D259" s="34" t="s">
        <v>817</v>
      </c>
      <c r="E259" s="34" t="s">
        <v>818</v>
      </c>
      <c r="F259" s="46">
        <v>47</v>
      </c>
      <c r="G259" s="46"/>
      <c r="H259" s="14">
        <f>IF(Assessment_Sheet[[#This Row],[NAME ]]="","",ROUND((G259/60*40),0))</f>
        <v>0</v>
      </c>
      <c r="I259" s="15">
        <f t="shared" si="4"/>
        <v>47</v>
      </c>
      <c r="J259" s="16" t="str">
        <f>IF(B259="","",IF(OR(F259="",G259=""),"IC",VLOOKUP(I259,Scale[],2,1)))</f>
        <v>IC</v>
      </c>
    </row>
    <row r="260" spans="1:10" x14ac:dyDescent="0.35">
      <c r="A260" s="34">
        <v>254</v>
      </c>
      <c r="B260" s="35" t="s">
        <v>675</v>
      </c>
      <c r="C260" s="34" t="s">
        <v>285</v>
      </c>
      <c r="D260" s="34" t="s">
        <v>817</v>
      </c>
      <c r="E260" s="34" t="s">
        <v>818</v>
      </c>
      <c r="F260" s="46">
        <v>56</v>
      </c>
      <c r="G260" s="46"/>
      <c r="H260" s="14">
        <f>IF(Assessment_Sheet[[#This Row],[NAME ]]="","",ROUND((G260/60*40),0))</f>
        <v>0</v>
      </c>
      <c r="I260" s="15">
        <f t="shared" si="4"/>
        <v>56</v>
      </c>
      <c r="J260" s="16" t="str">
        <f>IF(B260="","",IF(OR(F260="",G260=""),"IC",VLOOKUP(I260,Scale[],2,1)))</f>
        <v>IC</v>
      </c>
    </row>
    <row r="261" spans="1:10" x14ac:dyDescent="0.35">
      <c r="A261" s="34">
        <v>255</v>
      </c>
      <c r="B261" s="35" t="s">
        <v>676</v>
      </c>
      <c r="C261" s="34" t="s">
        <v>286</v>
      </c>
      <c r="D261" s="34" t="s">
        <v>817</v>
      </c>
      <c r="E261" s="34" t="s">
        <v>818</v>
      </c>
      <c r="F261" s="46">
        <v>54</v>
      </c>
      <c r="G261" s="46"/>
      <c r="H261" s="14">
        <f>IF(Assessment_Sheet[[#This Row],[NAME ]]="","",ROUND((G261/60*40),0))</f>
        <v>0</v>
      </c>
      <c r="I261" s="15">
        <f t="shared" si="4"/>
        <v>54</v>
      </c>
      <c r="J261" s="16" t="str">
        <f>IF(B261="","",IF(OR(F261="",G261=""),"IC",VLOOKUP(I261,Scale[],2,1)))</f>
        <v>IC</v>
      </c>
    </row>
    <row r="262" spans="1:10" x14ac:dyDescent="0.35">
      <c r="A262" s="34">
        <v>256</v>
      </c>
      <c r="B262" s="35" t="s">
        <v>677</v>
      </c>
      <c r="C262" s="34" t="s">
        <v>287</v>
      </c>
      <c r="D262" s="34" t="s">
        <v>817</v>
      </c>
      <c r="E262" s="34" t="s">
        <v>818</v>
      </c>
      <c r="F262" s="46">
        <v>47</v>
      </c>
      <c r="G262" s="46"/>
      <c r="H262" s="14">
        <f>IF(Assessment_Sheet[[#This Row],[NAME ]]="","",ROUND((G262/60*40),0))</f>
        <v>0</v>
      </c>
      <c r="I262" s="15">
        <f t="shared" si="4"/>
        <v>47</v>
      </c>
      <c r="J262" s="16" t="str">
        <f>IF(B262="","",IF(OR(F262="",G262=""),"IC",VLOOKUP(I262,Scale[],2,1)))</f>
        <v>IC</v>
      </c>
    </row>
    <row r="263" spans="1:10" x14ac:dyDescent="0.35">
      <c r="A263" s="34">
        <v>257</v>
      </c>
      <c r="B263" s="35" t="s">
        <v>678</v>
      </c>
      <c r="C263" s="34" t="s">
        <v>288</v>
      </c>
      <c r="D263" s="34" t="s">
        <v>817</v>
      </c>
      <c r="E263" s="34" t="s">
        <v>818</v>
      </c>
      <c r="F263" s="46">
        <v>56</v>
      </c>
      <c r="G263" s="46"/>
      <c r="H263" s="14">
        <f>IF(Assessment_Sheet[[#This Row],[NAME ]]="","",ROUND((G263/60*40),0))</f>
        <v>0</v>
      </c>
      <c r="I263" s="15">
        <f t="shared" si="4"/>
        <v>56</v>
      </c>
      <c r="J263" s="16" t="str">
        <f>IF(B263="","",IF(OR(F263="",G263=""),"IC",VLOOKUP(I263,Scale[],2,1)))</f>
        <v>IC</v>
      </c>
    </row>
    <row r="264" spans="1:10" x14ac:dyDescent="0.35">
      <c r="A264" s="34">
        <v>258</v>
      </c>
      <c r="B264" s="35" t="s">
        <v>679</v>
      </c>
      <c r="C264" s="34" t="s">
        <v>289</v>
      </c>
      <c r="D264" s="34" t="s">
        <v>817</v>
      </c>
      <c r="E264" s="34" t="s">
        <v>818</v>
      </c>
      <c r="F264" s="46"/>
      <c r="G264" s="46"/>
      <c r="H264" s="14">
        <f>IF(Assessment_Sheet[[#This Row],[NAME ]]="","",ROUND((G264/60*40),0))</f>
        <v>0</v>
      </c>
      <c r="I264" s="15">
        <f t="shared" ref="I264:I327" si="5">IFERROR(ROUND((F264+H264),0),"")</f>
        <v>0</v>
      </c>
      <c r="J264" s="16" t="str">
        <f>IF(B264="","",IF(OR(F264="",G264=""),"IC",VLOOKUP(I264,Scale[],2,1)))</f>
        <v>IC</v>
      </c>
    </row>
    <row r="265" spans="1:10" x14ac:dyDescent="0.35">
      <c r="A265" s="34">
        <v>259</v>
      </c>
      <c r="B265" s="35" t="s">
        <v>680</v>
      </c>
      <c r="C265" s="34" t="s">
        <v>290</v>
      </c>
      <c r="D265" s="34" t="s">
        <v>817</v>
      </c>
      <c r="E265" s="34" t="s">
        <v>818</v>
      </c>
      <c r="F265" s="46"/>
      <c r="G265" s="46"/>
      <c r="H265" s="14">
        <f>IF(Assessment_Sheet[[#This Row],[NAME ]]="","",ROUND((G265/60*40),0))</f>
        <v>0</v>
      </c>
      <c r="I265" s="15">
        <f t="shared" si="5"/>
        <v>0</v>
      </c>
      <c r="J265" s="16" t="str">
        <f>IF(B265="","",IF(OR(F265="",G265=""),"IC",VLOOKUP(I265,Scale[],2,1)))</f>
        <v>IC</v>
      </c>
    </row>
    <row r="266" spans="1:10" x14ac:dyDescent="0.35">
      <c r="A266" s="34">
        <v>260</v>
      </c>
      <c r="B266" s="35" t="s">
        <v>681</v>
      </c>
      <c r="C266" s="34" t="s">
        <v>291</v>
      </c>
      <c r="D266" s="34" t="s">
        <v>817</v>
      </c>
      <c r="E266" s="34" t="s">
        <v>818</v>
      </c>
      <c r="F266" s="46">
        <v>47</v>
      </c>
      <c r="G266" s="46"/>
      <c r="H266" s="14">
        <f>IF(Assessment_Sheet[[#This Row],[NAME ]]="","",ROUND((G266/60*40),0))</f>
        <v>0</v>
      </c>
      <c r="I266" s="15">
        <f t="shared" si="5"/>
        <v>47</v>
      </c>
      <c r="J266" s="16" t="str">
        <f>IF(B266="","",IF(OR(F266="",G266=""),"IC",VLOOKUP(I266,Scale[],2,1)))</f>
        <v>IC</v>
      </c>
    </row>
    <row r="267" spans="1:10" x14ac:dyDescent="0.35">
      <c r="A267" s="34">
        <v>261</v>
      </c>
      <c r="B267" s="35" t="s">
        <v>682</v>
      </c>
      <c r="C267" s="34" t="s">
        <v>292</v>
      </c>
      <c r="D267" s="34" t="s">
        <v>817</v>
      </c>
      <c r="E267" s="34" t="s">
        <v>818</v>
      </c>
      <c r="F267" s="46">
        <v>50</v>
      </c>
      <c r="G267" s="46"/>
      <c r="H267" s="14">
        <f>IF(Assessment_Sheet[[#This Row],[NAME ]]="","",ROUND((G267/60*40),0))</f>
        <v>0</v>
      </c>
      <c r="I267" s="15">
        <f t="shared" si="5"/>
        <v>50</v>
      </c>
      <c r="J267" s="16" t="str">
        <f>IF(B267="","",IF(OR(F267="",G267=""),"IC",VLOOKUP(I267,Scale[],2,1)))</f>
        <v>IC</v>
      </c>
    </row>
    <row r="268" spans="1:10" x14ac:dyDescent="0.35">
      <c r="A268" s="34">
        <v>262</v>
      </c>
      <c r="B268" s="35" t="s">
        <v>683</v>
      </c>
      <c r="C268" s="34" t="s">
        <v>293</v>
      </c>
      <c r="D268" s="34" t="s">
        <v>817</v>
      </c>
      <c r="E268" s="34" t="s">
        <v>818</v>
      </c>
      <c r="F268" s="46"/>
      <c r="G268" s="46"/>
      <c r="H268" s="14">
        <f>IF(Assessment_Sheet[[#This Row],[NAME ]]="","",ROUND((G268/60*40),0))</f>
        <v>0</v>
      </c>
      <c r="I268" s="15">
        <f t="shared" si="5"/>
        <v>0</v>
      </c>
      <c r="J268" s="16" t="str">
        <f>IF(B268="","",IF(OR(F268="",G268=""),"IC",VLOOKUP(I268,Scale[],2,1)))</f>
        <v>IC</v>
      </c>
    </row>
    <row r="269" spans="1:10" x14ac:dyDescent="0.35">
      <c r="A269" s="34">
        <v>263</v>
      </c>
      <c r="B269" s="35" t="s">
        <v>684</v>
      </c>
      <c r="C269" s="34" t="s">
        <v>294</v>
      </c>
      <c r="D269" s="34" t="s">
        <v>817</v>
      </c>
      <c r="E269" s="34" t="s">
        <v>818</v>
      </c>
      <c r="F269" s="46">
        <v>52</v>
      </c>
      <c r="G269" s="46"/>
      <c r="H269" s="14">
        <f>IF(Assessment_Sheet[[#This Row],[NAME ]]="","",ROUND((G269/60*40),0))</f>
        <v>0</v>
      </c>
      <c r="I269" s="15">
        <f t="shared" si="5"/>
        <v>52</v>
      </c>
      <c r="J269" s="16" t="str">
        <f>IF(B269="","",IF(OR(F269="",G269=""),"IC",VLOOKUP(I269,Scale[],2,1)))</f>
        <v>IC</v>
      </c>
    </row>
    <row r="270" spans="1:10" x14ac:dyDescent="0.35">
      <c r="A270" s="34">
        <v>264</v>
      </c>
      <c r="B270" s="35" t="s">
        <v>685</v>
      </c>
      <c r="C270" s="34" t="s">
        <v>295</v>
      </c>
      <c r="D270" s="34" t="s">
        <v>817</v>
      </c>
      <c r="E270" s="34" t="s">
        <v>818</v>
      </c>
      <c r="F270" s="46">
        <v>53</v>
      </c>
      <c r="G270" s="46"/>
      <c r="H270" s="14">
        <f>IF(Assessment_Sheet[[#This Row],[NAME ]]="","",ROUND((G270/60*40),0))</f>
        <v>0</v>
      </c>
      <c r="I270" s="15">
        <f t="shared" si="5"/>
        <v>53</v>
      </c>
      <c r="J270" s="16" t="str">
        <f>IF(B270="","",IF(OR(F270="",G270=""),"IC",VLOOKUP(I270,Scale[],2,1)))</f>
        <v>IC</v>
      </c>
    </row>
    <row r="271" spans="1:10" x14ac:dyDescent="0.35">
      <c r="A271" s="34">
        <v>265</v>
      </c>
      <c r="B271" s="35" t="s">
        <v>686</v>
      </c>
      <c r="C271" s="34" t="s">
        <v>296</v>
      </c>
      <c r="D271" s="34" t="s">
        <v>817</v>
      </c>
      <c r="E271" s="34" t="s">
        <v>818</v>
      </c>
      <c r="F271" s="46">
        <v>53</v>
      </c>
      <c r="G271" s="46"/>
      <c r="H271" s="14">
        <f>IF(Assessment_Sheet[[#This Row],[NAME ]]="","",ROUND((G271/60*40),0))</f>
        <v>0</v>
      </c>
      <c r="I271" s="15">
        <f t="shared" si="5"/>
        <v>53</v>
      </c>
      <c r="J271" s="16" t="str">
        <f>IF(B271="","",IF(OR(F271="",G271=""),"IC",VLOOKUP(I271,Scale[],2,1)))</f>
        <v>IC</v>
      </c>
    </row>
    <row r="272" spans="1:10" x14ac:dyDescent="0.35">
      <c r="A272" s="34">
        <v>266</v>
      </c>
      <c r="B272" s="35" t="s">
        <v>687</v>
      </c>
      <c r="C272" s="34" t="s">
        <v>297</v>
      </c>
      <c r="D272" s="34" t="s">
        <v>817</v>
      </c>
      <c r="E272" s="34" t="s">
        <v>818</v>
      </c>
      <c r="F272" s="46">
        <v>47</v>
      </c>
      <c r="G272" s="46"/>
      <c r="H272" s="14">
        <f>IF(Assessment_Sheet[[#This Row],[NAME ]]="","",ROUND((G272/60*40),0))</f>
        <v>0</v>
      </c>
      <c r="I272" s="15">
        <f t="shared" si="5"/>
        <v>47</v>
      </c>
      <c r="J272" s="16" t="str">
        <f>IF(B272="","",IF(OR(F272="",G272=""),"IC",VLOOKUP(I272,Scale[],2,1)))</f>
        <v>IC</v>
      </c>
    </row>
    <row r="273" spans="1:10" x14ac:dyDescent="0.35">
      <c r="A273" s="34">
        <v>267</v>
      </c>
      <c r="B273" s="35" t="s">
        <v>688</v>
      </c>
      <c r="C273" s="34" t="s">
        <v>298</v>
      </c>
      <c r="D273" s="34" t="s">
        <v>817</v>
      </c>
      <c r="E273" s="34" t="s">
        <v>818</v>
      </c>
      <c r="F273" s="46">
        <v>50</v>
      </c>
      <c r="G273" s="46"/>
      <c r="H273" s="14">
        <f>IF(Assessment_Sheet[[#This Row],[NAME ]]="","",ROUND((G273/60*40),0))</f>
        <v>0</v>
      </c>
      <c r="I273" s="15">
        <f t="shared" si="5"/>
        <v>50</v>
      </c>
      <c r="J273" s="16" t="str">
        <f>IF(B273="","",IF(OR(F273="",G273=""),"IC",VLOOKUP(I273,Scale[],2,1)))</f>
        <v>IC</v>
      </c>
    </row>
    <row r="274" spans="1:10" x14ac:dyDescent="0.35">
      <c r="A274" s="34">
        <v>268</v>
      </c>
      <c r="B274" s="35" t="s">
        <v>689</v>
      </c>
      <c r="C274" s="34" t="s">
        <v>299</v>
      </c>
      <c r="D274" s="34" t="s">
        <v>817</v>
      </c>
      <c r="E274" s="34" t="s">
        <v>818</v>
      </c>
      <c r="F274" s="46">
        <v>55</v>
      </c>
      <c r="G274" s="46"/>
      <c r="H274" s="14">
        <f>IF(Assessment_Sheet[[#This Row],[NAME ]]="","",ROUND((G274/60*40),0))</f>
        <v>0</v>
      </c>
      <c r="I274" s="15">
        <f t="shared" si="5"/>
        <v>55</v>
      </c>
      <c r="J274" s="16" t="str">
        <f>IF(B274="","",IF(OR(F274="",G274=""),"IC",VLOOKUP(I274,Scale[],2,1)))</f>
        <v>IC</v>
      </c>
    </row>
    <row r="275" spans="1:10" x14ac:dyDescent="0.35">
      <c r="A275" s="34">
        <v>269</v>
      </c>
      <c r="B275" s="35" t="s">
        <v>690</v>
      </c>
      <c r="C275" s="34" t="s">
        <v>300</v>
      </c>
      <c r="D275" s="34" t="s">
        <v>817</v>
      </c>
      <c r="E275" s="34" t="s">
        <v>818</v>
      </c>
      <c r="F275" s="46"/>
      <c r="G275" s="46"/>
      <c r="H275" s="14">
        <f>IF(Assessment_Sheet[[#This Row],[NAME ]]="","",ROUND((G275/60*40),0))</f>
        <v>0</v>
      </c>
      <c r="I275" s="15">
        <f t="shared" si="5"/>
        <v>0</v>
      </c>
      <c r="J275" s="16" t="str">
        <f>IF(B275="","",IF(OR(F275="",G275=""),"IC",VLOOKUP(I275,Scale[],2,1)))</f>
        <v>IC</v>
      </c>
    </row>
    <row r="276" spans="1:10" x14ac:dyDescent="0.35">
      <c r="A276" s="34">
        <v>270</v>
      </c>
      <c r="B276" s="35" t="s">
        <v>691</v>
      </c>
      <c r="C276" s="34" t="s">
        <v>301</v>
      </c>
      <c r="D276" s="34" t="s">
        <v>817</v>
      </c>
      <c r="E276" s="34" t="s">
        <v>818</v>
      </c>
      <c r="F276" s="46">
        <v>45</v>
      </c>
      <c r="G276" s="46"/>
      <c r="H276" s="14">
        <f>IF(Assessment_Sheet[[#This Row],[NAME ]]="","",ROUND((G276/60*40),0))</f>
        <v>0</v>
      </c>
      <c r="I276" s="15">
        <f t="shared" si="5"/>
        <v>45</v>
      </c>
      <c r="J276" s="16" t="str">
        <f>IF(B276="","",IF(OR(F276="",G276=""),"IC",VLOOKUP(I276,Scale[],2,1)))</f>
        <v>IC</v>
      </c>
    </row>
    <row r="277" spans="1:10" x14ac:dyDescent="0.35">
      <c r="A277" s="34">
        <v>271</v>
      </c>
      <c r="B277" s="35" t="s">
        <v>692</v>
      </c>
      <c r="C277" s="34" t="s">
        <v>302</v>
      </c>
      <c r="D277" s="34" t="s">
        <v>817</v>
      </c>
      <c r="E277" s="34" t="s">
        <v>818</v>
      </c>
      <c r="F277" s="46">
        <v>56</v>
      </c>
      <c r="G277" s="46"/>
      <c r="H277" s="14">
        <f>IF(Assessment_Sheet[[#This Row],[NAME ]]="","",ROUND((G277/60*40),0))</f>
        <v>0</v>
      </c>
      <c r="I277" s="15">
        <f t="shared" si="5"/>
        <v>56</v>
      </c>
      <c r="J277" s="16" t="str">
        <f>IF(B277="","",IF(OR(F277="",G277=""),"IC",VLOOKUP(I277,Scale[],2,1)))</f>
        <v>IC</v>
      </c>
    </row>
    <row r="278" spans="1:10" x14ac:dyDescent="0.35">
      <c r="A278" s="34">
        <v>272</v>
      </c>
      <c r="B278" s="35" t="s">
        <v>693</v>
      </c>
      <c r="C278" s="34" t="s">
        <v>303</v>
      </c>
      <c r="D278" s="34" t="s">
        <v>817</v>
      </c>
      <c r="E278" s="34" t="s">
        <v>818</v>
      </c>
      <c r="F278" s="46">
        <v>50</v>
      </c>
      <c r="G278" s="46"/>
      <c r="H278" s="14">
        <f>IF(Assessment_Sheet[[#This Row],[NAME ]]="","",ROUND((G278/60*40),0))</f>
        <v>0</v>
      </c>
      <c r="I278" s="15">
        <f t="shared" si="5"/>
        <v>50</v>
      </c>
      <c r="J278" s="16" t="str">
        <f>IF(B278="","",IF(OR(F278="",G278=""),"IC",VLOOKUP(I278,Scale[],2,1)))</f>
        <v>IC</v>
      </c>
    </row>
    <row r="279" spans="1:10" x14ac:dyDescent="0.35">
      <c r="A279" s="34">
        <v>273</v>
      </c>
      <c r="B279" s="35" t="s">
        <v>694</v>
      </c>
      <c r="C279" s="34" t="s">
        <v>304</v>
      </c>
      <c r="D279" s="34" t="s">
        <v>817</v>
      </c>
      <c r="E279" s="34" t="s">
        <v>818</v>
      </c>
      <c r="F279" s="46"/>
      <c r="G279" s="46"/>
      <c r="H279" s="14">
        <f>IF(Assessment_Sheet[[#This Row],[NAME ]]="","",ROUND((G279/60*40),0))</f>
        <v>0</v>
      </c>
      <c r="I279" s="15">
        <f t="shared" si="5"/>
        <v>0</v>
      </c>
      <c r="J279" s="16" t="str">
        <f>IF(B279="","",IF(OR(F279="",G279=""),"IC",VLOOKUP(I279,Scale[],2,1)))</f>
        <v>IC</v>
      </c>
    </row>
    <row r="280" spans="1:10" x14ac:dyDescent="0.35">
      <c r="A280" s="34">
        <v>274</v>
      </c>
      <c r="B280" s="35" t="s">
        <v>695</v>
      </c>
      <c r="C280" s="34" t="s">
        <v>305</v>
      </c>
      <c r="D280" s="34" t="s">
        <v>817</v>
      </c>
      <c r="E280" s="34" t="s">
        <v>818</v>
      </c>
      <c r="F280" s="46">
        <v>52</v>
      </c>
      <c r="G280" s="46"/>
      <c r="H280" s="14">
        <f>IF(Assessment_Sheet[[#This Row],[NAME ]]="","",ROUND((G280/60*40),0))</f>
        <v>0</v>
      </c>
      <c r="I280" s="15">
        <f t="shared" si="5"/>
        <v>52</v>
      </c>
      <c r="J280" s="16" t="str">
        <f>IF(B280="","",IF(OR(F280="",G280=""),"IC",VLOOKUP(I280,Scale[],2,1)))</f>
        <v>IC</v>
      </c>
    </row>
    <row r="281" spans="1:10" x14ac:dyDescent="0.35">
      <c r="A281" s="34">
        <v>275</v>
      </c>
      <c r="B281" s="35" t="s">
        <v>696</v>
      </c>
      <c r="C281" s="34" t="s">
        <v>306</v>
      </c>
      <c r="D281" s="34" t="s">
        <v>817</v>
      </c>
      <c r="E281" s="34" t="s">
        <v>818</v>
      </c>
      <c r="F281" s="46">
        <v>56</v>
      </c>
      <c r="G281" s="46"/>
      <c r="H281" s="14">
        <f>IF(Assessment_Sheet[[#This Row],[NAME ]]="","",ROUND((G281/60*40),0))</f>
        <v>0</v>
      </c>
      <c r="I281" s="15">
        <f t="shared" si="5"/>
        <v>56</v>
      </c>
      <c r="J281" s="16" t="str">
        <f>IF(B281="","",IF(OR(F281="",G281=""),"IC",VLOOKUP(I281,Scale[],2,1)))</f>
        <v>IC</v>
      </c>
    </row>
    <row r="282" spans="1:10" x14ac:dyDescent="0.35">
      <c r="A282" s="34">
        <v>276</v>
      </c>
      <c r="B282" s="35" t="s">
        <v>697</v>
      </c>
      <c r="C282" s="34" t="s">
        <v>307</v>
      </c>
      <c r="D282" s="34" t="s">
        <v>817</v>
      </c>
      <c r="E282" s="34" t="s">
        <v>818</v>
      </c>
      <c r="F282" s="46">
        <v>53</v>
      </c>
      <c r="G282" s="46"/>
      <c r="H282" s="14">
        <f>IF(Assessment_Sheet[[#This Row],[NAME ]]="","",ROUND((G282/60*40),0))</f>
        <v>0</v>
      </c>
      <c r="I282" s="15">
        <f t="shared" si="5"/>
        <v>53</v>
      </c>
      <c r="J282" s="16" t="str">
        <f>IF(B282="","",IF(OR(F282="",G282=""),"IC",VLOOKUP(I282,Scale[],2,1)))</f>
        <v>IC</v>
      </c>
    </row>
    <row r="283" spans="1:10" x14ac:dyDescent="0.35">
      <c r="A283" s="34">
        <v>277</v>
      </c>
      <c r="B283" s="35" t="s">
        <v>698</v>
      </c>
      <c r="C283" s="34" t="s">
        <v>308</v>
      </c>
      <c r="D283" s="34" t="s">
        <v>817</v>
      </c>
      <c r="E283" s="34" t="s">
        <v>818</v>
      </c>
      <c r="F283" s="46">
        <v>55</v>
      </c>
      <c r="G283" s="46"/>
      <c r="H283" s="14">
        <f>IF(Assessment_Sheet[[#This Row],[NAME ]]="","",ROUND((G283/60*40),0))</f>
        <v>0</v>
      </c>
      <c r="I283" s="15">
        <f t="shared" si="5"/>
        <v>55</v>
      </c>
      <c r="J283" s="16" t="str">
        <f>IF(B283="","",IF(OR(F283="",G283=""),"IC",VLOOKUP(I283,Scale[],2,1)))</f>
        <v>IC</v>
      </c>
    </row>
    <row r="284" spans="1:10" x14ac:dyDescent="0.35">
      <c r="A284" s="34">
        <v>278</v>
      </c>
      <c r="B284" s="35" t="s">
        <v>699</v>
      </c>
      <c r="C284" s="34" t="s">
        <v>309</v>
      </c>
      <c r="D284" s="34" t="s">
        <v>817</v>
      </c>
      <c r="E284" s="34" t="s">
        <v>818</v>
      </c>
      <c r="F284" s="46"/>
      <c r="G284" s="46"/>
      <c r="H284" s="14">
        <f>IF(Assessment_Sheet[[#This Row],[NAME ]]="","",ROUND((G284/60*40),0))</f>
        <v>0</v>
      </c>
      <c r="I284" s="15">
        <f t="shared" si="5"/>
        <v>0</v>
      </c>
      <c r="J284" s="16" t="str">
        <f>IF(B284="","",IF(OR(F284="",G284=""),"IC",VLOOKUP(I284,Scale[],2,1)))</f>
        <v>IC</v>
      </c>
    </row>
    <row r="285" spans="1:10" x14ac:dyDescent="0.35">
      <c r="A285" s="34">
        <v>279</v>
      </c>
      <c r="B285" s="35" t="s">
        <v>700</v>
      </c>
      <c r="C285" s="34" t="s">
        <v>310</v>
      </c>
      <c r="D285" s="34" t="s">
        <v>817</v>
      </c>
      <c r="E285" s="34" t="s">
        <v>818</v>
      </c>
      <c r="F285" s="46">
        <v>54</v>
      </c>
      <c r="G285" s="46"/>
      <c r="H285" s="14">
        <f>IF(Assessment_Sheet[[#This Row],[NAME ]]="","",ROUND((G285/60*40),0))</f>
        <v>0</v>
      </c>
      <c r="I285" s="15">
        <f t="shared" si="5"/>
        <v>54</v>
      </c>
      <c r="J285" s="16" t="str">
        <f>IF(B285="","",IF(OR(F285="",G285=""),"IC",VLOOKUP(I285,Scale[],2,1)))</f>
        <v>IC</v>
      </c>
    </row>
    <row r="286" spans="1:10" x14ac:dyDescent="0.35">
      <c r="A286" s="34">
        <v>280</v>
      </c>
      <c r="B286" s="35" t="s">
        <v>701</v>
      </c>
      <c r="C286" s="34" t="s">
        <v>311</v>
      </c>
      <c r="D286" s="34" t="s">
        <v>817</v>
      </c>
      <c r="E286" s="34" t="s">
        <v>818</v>
      </c>
      <c r="F286" s="46">
        <v>50</v>
      </c>
      <c r="G286" s="46"/>
      <c r="H286" s="14">
        <f>IF(Assessment_Sheet[[#This Row],[NAME ]]="","",ROUND((G286/60*40),0))</f>
        <v>0</v>
      </c>
      <c r="I286" s="15">
        <f t="shared" si="5"/>
        <v>50</v>
      </c>
      <c r="J286" s="16" t="str">
        <f>IF(B286="","",IF(OR(F286="",G286=""),"IC",VLOOKUP(I286,Scale[],2,1)))</f>
        <v>IC</v>
      </c>
    </row>
    <row r="287" spans="1:10" x14ac:dyDescent="0.35">
      <c r="A287" s="34">
        <v>281</v>
      </c>
      <c r="B287" s="35" t="s">
        <v>702</v>
      </c>
      <c r="C287" s="34" t="s">
        <v>312</v>
      </c>
      <c r="D287" s="34" t="s">
        <v>817</v>
      </c>
      <c r="E287" s="34" t="s">
        <v>818</v>
      </c>
      <c r="F287" s="46">
        <v>56</v>
      </c>
      <c r="G287" s="46"/>
      <c r="H287" s="14">
        <f>IF(Assessment_Sheet[[#This Row],[NAME ]]="","",ROUND((G287/60*40),0))</f>
        <v>0</v>
      </c>
      <c r="I287" s="15">
        <f t="shared" si="5"/>
        <v>56</v>
      </c>
      <c r="J287" s="16" t="str">
        <f>IF(B287="","",IF(OR(F287="",G287=""),"IC",VLOOKUP(I287,Scale[],2,1)))</f>
        <v>IC</v>
      </c>
    </row>
    <row r="288" spans="1:10" x14ac:dyDescent="0.35">
      <c r="A288" s="34">
        <v>282</v>
      </c>
      <c r="B288" s="35" t="s">
        <v>703</v>
      </c>
      <c r="C288" s="34" t="s">
        <v>313</v>
      </c>
      <c r="D288" s="34" t="s">
        <v>817</v>
      </c>
      <c r="E288" s="34" t="s">
        <v>818</v>
      </c>
      <c r="F288" s="46">
        <v>47</v>
      </c>
      <c r="G288" s="46"/>
      <c r="H288" s="14">
        <f>IF(Assessment_Sheet[[#This Row],[NAME ]]="","",ROUND((G288/60*40),0))</f>
        <v>0</v>
      </c>
      <c r="I288" s="15">
        <f t="shared" si="5"/>
        <v>47</v>
      </c>
      <c r="J288" s="16" t="str">
        <f>IF(B288="","",IF(OR(F288="",G288=""),"IC",VLOOKUP(I288,Scale[],2,1)))</f>
        <v>IC</v>
      </c>
    </row>
    <row r="289" spans="1:10" x14ac:dyDescent="0.35">
      <c r="A289" s="34">
        <v>283</v>
      </c>
      <c r="B289" s="35" t="s">
        <v>704</v>
      </c>
      <c r="C289" s="34" t="s">
        <v>314</v>
      </c>
      <c r="D289" s="34" t="s">
        <v>817</v>
      </c>
      <c r="E289" s="34" t="s">
        <v>818</v>
      </c>
      <c r="F289" s="46">
        <v>53</v>
      </c>
      <c r="G289" s="46"/>
      <c r="H289" s="14">
        <f>IF(Assessment_Sheet[[#This Row],[NAME ]]="","",ROUND((G289/60*40),0))</f>
        <v>0</v>
      </c>
      <c r="I289" s="15">
        <f t="shared" si="5"/>
        <v>53</v>
      </c>
      <c r="J289" s="16" t="str">
        <f>IF(B289="","",IF(OR(F289="",G289=""),"IC",VLOOKUP(I289,Scale[],2,1)))</f>
        <v>IC</v>
      </c>
    </row>
    <row r="290" spans="1:10" x14ac:dyDescent="0.35">
      <c r="A290" s="34">
        <v>284</v>
      </c>
      <c r="B290" s="35" t="s">
        <v>705</v>
      </c>
      <c r="C290" s="34" t="s">
        <v>315</v>
      </c>
      <c r="D290" s="34" t="s">
        <v>817</v>
      </c>
      <c r="E290" s="34" t="s">
        <v>818</v>
      </c>
      <c r="F290" s="46">
        <v>51</v>
      </c>
      <c r="G290" s="46"/>
      <c r="H290" s="14">
        <f>IF(Assessment_Sheet[[#This Row],[NAME ]]="","",ROUND((G290/60*40),0))</f>
        <v>0</v>
      </c>
      <c r="I290" s="15">
        <f t="shared" si="5"/>
        <v>51</v>
      </c>
      <c r="J290" s="16" t="str">
        <f>IF(B290="","",IF(OR(F290="",G290=""),"IC",VLOOKUP(I290,Scale[],2,1)))</f>
        <v>IC</v>
      </c>
    </row>
    <row r="291" spans="1:10" x14ac:dyDescent="0.35">
      <c r="A291" s="34">
        <v>285</v>
      </c>
      <c r="B291" s="35" t="s">
        <v>706</v>
      </c>
      <c r="C291" s="34" t="s">
        <v>316</v>
      </c>
      <c r="D291" s="34" t="s">
        <v>817</v>
      </c>
      <c r="E291" s="34" t="s">
        <v>818</v>
      </c>
      <c r="F291" s="46">
        <v>56</v>
      </c>
      <c r="G291" s="46"/>
      <c r="H291" s="14">
        <f>IF(Assessment_Sheet[[#This Row],[NAME ]]="","",ROUND((G291/60*40),0))</f>
        <v>0</v>
      </c>
      <c r="I291" s="15">
        <f t="shared" si="5"/>
        <v>56</v>
      </c>
      <c r="J291" s="16" t="str">
        <f>IF(B291="","",IF(OR(F291="",G291=""),"IC",VLOOKUP(I291,Scale[],2,1)))</f>
        <v>IC</v>
      </c>
    </row>
    <row r="292" spans="1:10" x14ac:dyDescent="0.35">
      <c r="A292" s="34">
        <v>286</v>
      </c>
      <c r="B292" s="35" t="s">
        <v>707</v>
      </c>
      <c r="C292" s="34" t="s">
        <v>317</v>
      </c>
      <c r="D292" s="34" t="s">
        <v>817</v>
      </c>
      <c r="E292" s="34" t="s">
        <v>818</v>
      </c>
      <c r="F292" s="46">
        <v>50</v>
      </c>
      <c r="G292" s="46"/>
      <c r="H292" s="14">
        <f>IF(Assessment_Sheet[[#This Row],[NAME ]]="","",ROUND((G292/60*40),0))</f>
        <v>0</v>
      </c>
      <c r="I292" s="15">
        <f t="shared" si="5"/>
        <v>50</v>
      </c>
      <c r="J292" s="16" t="str">
        <f>IF(B292="","",IF(OR(F292="",G292=""),"IC",VLOOKUP(I292,Scale[],2,1)))</f>
        <v>IC</v>
      </c>
    </row>
    <row r="293" spans="1:10" x14ac:dyDescent="0.35">
      <c r="A293" s="34">
        <v>287</v>
      </c>
      <c r="B293" s="35" t="s">
        <v>708</v>
      </c>
      <c r="C293" s="34" t="s">
        <v>318</v>
      </c>
      <c r="D293" s="34" t="s">
        <v>817</v>
      </c>
      <c r="E293" s="34" t="s">
        <v>818</v>
      </c>
      <c r="F293" s="46">
        <v>53</v>
      </c>
      <c r="G293" s="46"/>
      <c r="H293" s="14">
        <f>IF(Assessment_Sheet[[#This Row],[NAME ]]="","",ROUND((G293/60*40),0))</f>
        <v>0</v>
      </c>
      <c r="I293" s="15">
        <f t="shared" si="5"/>
        <v>53</v>
      </c>
      <c r="J293" s="16" t="str">
        <f>IF(B293="","",IF(OR(F293="",G293=""),"IC",VLOOKUP(I293,Scale[],2,1)))</f>
        <v>IC</v>
      </c>
    </row>
    <row r="294" spans="1:10" x14ac:dyDescent="0.35">
      <c r="A294" s="34">
        <v>288</v>
      </c>
      <c r="B294" s="35" t="s">
        <v>709</v>
      </c>
      <c r="C294" s="34" t="s">
        <v>319</v>
      </c>
      <c r="D294" s="34" t="s">
        <v>817</v>
      </c>
      <c r="E294" s="34" t="s">
        <v>818</v>
      </c>
      <c r="F294" s="46">
        <v>48</v>
      </c>
      <c r="G294" s="46"/>
      <c r="H294" s="14">
        <f>IF(Assessment_Sheet[[#This Row],[NAME ]]="","",ROUND((G294/60*40),0))</f>
        <v>0</v>
      </c>
      <c r="I294" s="15">
        <f t="shared" si="5"/>
        <v>48</v>
      </c>
      <c r="J294" s="16" t="str">
        <f>IF(B294="","",IF(OR(F294="",G294=""),"IC",VLOOKUP(I294,Scale[],2,1)))</f>
        <v>IC</v>
      </c>
    </row>
    <row r="295" spans="1:10" x14ac:dyDescent="0.35">
      <c r="A295" s="34">
        <v>289</v>
      </c>
      <c r="B295" s="35" t="s">
        <v>710</v>
      </c>
      <c r="C295" s="34" t="s">
        <v>320</v>
      </c>
      <c r="D295" s="34" t="s">
        <v>817</v>
      </c>
      <c r="E295" s="34" t="s">
        <v>818</v>
      </c>
      <c r="F295" s="46">
        <v>52</v>
      </c>
      <c r="G295" s="46"/>
      <c r="H295" s="14">
        <f>IF(Assessment_Sheet[[#This Row],[NAME ]]="","",ROUND((G295/60*40),0))</f>
        <v>0</v>
      </c>
      <c r="I295" s="15">
        <f t="shared" si="5"/>
        <v>52</v>
      </c>
      <c r="J295" s="16" t="str">
        <f>IF(B295="","",IF(OR(F295="",G295=""),"IC",VLOOKUP(I295,Scale[],2,1)))</f>
        <v>IC</v>
      </c>
    </row>
    <row r="296" spans="1:10" x14ac:dyDescent="0.35">
      <c r="A296" s="34">
        <v>290</v>
      </c>
      <c r="B296" s="35" t="s">
        <v>711</v>
      </c>
      <c r="C296" s="34" t="s">
        <v>321</v>
      </c>
      <c r="D296" s="34" t="s">
        <v>817</v>
      </c>
      <c r="E296" s="34" t="s">
        <v>818</v>
      </c>
      <c r="F296" s="46"/>
      <c r="G296" s="46"/>
      <c r="H296" s="14">
        <f>IF(Assessment_Sheet[[#This Row],[NAME ]]="","",ROUND((G296/60*40),0))</f>
        <v>0</v>
      </c>
      <c r="I296" s="15">
        <f t="shared" si="5"/>
        <v>0</v>
      </c>
      <c r="J296" s="16" t="str">
        <f>IF(B296="","",IF(OR(F296="",G296=""),"IC",VLOOKUP(I296,Scale[],2,1)))</f>
        <v>IC</v>
      </c>
    </row>
    <row r="297" spans="1:10" x14ac:dyDescent="0.35">
      <c r="A297" s="34">
        <v>291</v>
      </c>
      <c r="B297" s="35" t="s">
        <v>712</v>
      </c>
      <c r="C297" s="34" t="s">
        <v>322</v>
      </c>
      <c r="D297" s="34" t="s">
        <v>817</v>
      </c>
      <c r="E297" s="34" t="s">
        <v>818</v>
      </c>
      <c r="F297" s="46">
        <v>53</v>
      </c>
      <c r="G297" s="46"/>
      <c r="H297" s="14">
        <f>IF(Assessment_Sheet[[#This Row],[NAME ]]="","",ROUND((G297/60*40),0))</f>
        <v>0</v>
      </c>
      <c r="I297" s="15">
        <f t="shared" si="5"/>
        <v>53</v>
      </c>
      <c r="J297" s="16" t="str">
        <f>IF(B297="","",IF(OR(F297="",G297=""),"IC",VLOOKUP(I297,Scale[],2,1)))</f>
        <v>IC</v>
      </c>
    </row>
    <row r="298" spans="1:10" x14ac:dyDescent="0.35">
      <c r="A298" s="34">
        <v>292</v>
      </c>
      <c r="B298" s="35" t="s">
        <v>713</v>
      </c>
      <c r="C298" s="34" t="s">
        <v>323</v>
      </c>
      <c r="D298" s="34" t="s">
        <v>817</v>
      </c>
      <c r="E298" s="34" t="s">
        <v>818</v>
      </c>
      <c r="F298" s="46">
        <v>41</v>
      </c>
      <c r="G298" s="46"/>
      <c r="H298" s="14">
        <f>IF(Assessment_Sheet[[#This Row],[NAME ]]="","",ROUND((G298/60*40),0))</f>
        <v>0</v>
      </c>
      <c r="I298" s="15">
        <f t="shared" si="5"/>
        <v>41</v>
      </c>
      <c r="J298" s="16" t="str">
        <f>IF(B298="","",IF(OR(F298="",G298=""),"IC",VLOOKUP(I298,Scale[],2,1)))</f>
        <v>IC</v>
      </c>
    </row>
    <row r="299" spans="1:10" x14ac:dyDescent="0.35">
      <c r="A299" s="34">
        <v>293</v>
      </c>
      <c r="B299" s="35" t="s">
        <v>714</v>
      </c>
      <c r="C299" s="34" t="s">
        <v>324</v>
      </c>
      <c r="D299" s="34" t="s">
        <v>817</v>
      </c>
      <c r="E299" s="34" t="s">
        <v>818</v>
      </c>
      <c r="F299" s="46">
        <v>48</v>
      </c>
      <c r="G299" s="46"/>
      <c r="H299" s="14">
        <f>IF(Assessment_Sheet[[#This Row],[NAME ]]="","",ROUND((G299/60*40),0))</f>
        <v>0</v>
      </c>
      <c r="I299" s="15">
        <f t="shared" si="5"/>
        <v>48</v>
      </c>
      <c r="J299" s="16" t="str">
        <f>IF(B299="","",IF(OR(F299="",G299=""),"IC",VLOOKUP(I299,Scale[],2,1)))</f>
        <v>IC</v>
      </c>
    </row>
    <row r="300" spans="1:10" x14ac:dyDescent="0.35">
      <c r="A300" s="34">
        <v>294</v>
      </c>
      <c r="B300" s="35" t="s">
        <v>715</v>
      </c>
      <c r="C300" s="34" t="s">
        <v>325</v>
      </c>
      <c r="D300" s="34" t="s">
        <v>817</v>
      </c>
      <c r="E300" s="34" t="s">
        <v>818</v>
      </c>
      <c r="F300" s="46">
        <v>56</v>
      </c>
      <c r="G300" s="46"/>
      <c r="H300" s="14">
        <f>IF(Assessment_Sheet[[#This Row],[NAME ]]="","",ROUND((G300/60*40),0))</f>
        <v>0</v>
      </c>
      <c r="I300" s="15">
        <f t="shared" si="5"/>
        <v>56</v>
      </c>
      <c r="J300" s="16" t="str">
        <f>IF(B300="","",IF(OR(F300="",G300=""),"IC",VLOOKUP(I300,Scale[],2,1)))</f>
        <v>IC</v>
      </c>
    </row>
    <row r="301" spans="1:10" x14ac:dyDescent="0.35">
      <c r="A301" s="34">
        <v>295</v>
      </c>
      <c r="B301" s="35" t="s">
        <v>716</v>
      </c>
      <c r="C301" s="34" t="s">
        <v>326</v>
      </c>
      <c r="D301" s="34" t="s">
        <v>817</v>
      </c>
      <c r="E301" s="34" t="s">
        <v>818</v>
      </c>
      <c r="F301" s="46">
        <v>55</v>
      </c>
      <c r="G301" s="46"/>
      <c r="H301" s="14">
        <f>IF(Assessment_Sheet[[#This Row],[NAME ]]="","",ROUND((G301/60*40),0))</f>
        <v>0</v>
      </c>
      <c r="I301" s="15">
        <f t="shared" si="5"/>
        <v>55</v>
      </c>
      <c r="J301" s="16" t="str">
        <f>IF(B301="","",IF(OR(F301="",G301=""),"IC",VLOOKUP(I301,Scale[],2,1)))</f>
        <v>IC</v>
      </c>
    </row>
    <row r="302" spans="1:10" x14ac:dyDescent="0.35">
      <c r="A302" s="34">
        <v>296</v>
      </c>
      <c r="B302" s="35" t="s">
        <v>717</v>
      </c>
      <c r="C302" s="34" t="s">
        <v>327</v>
      </c>
      <c r="D302" s="34" t="s">
        <v>817</v>
      </c>
      <c r="E302" s="34" t="s">
        <v>818</v>
      </c>
      <c r="F302" s="46"/>
      <c r="G302" s="46"/>
      <c r="H302" s="14">
        <f>IF(Assessment_Sheet[[#This Row],[NAME ]]="","",ROUND((G302/60*40),0))</f>
        <v>0</v>
      </c>
      <c r="I302" s="15">
        <f t="shared" si="5"/>
        <v>0</v>
      </c>
      <c r="J302" s="16" t="str">
        <f>IF(B302="","",IF(OR(F302="",G302=""),"IC",VLOOKUP(I302,Scale[],2,1)))</f>
        <v>IC</v>
      </c>
    </row>
    <row r="303" spans="1:10" x14ac:dyDescent="0.35">
      <c r="A303" s="34">
        <v>297</v>
      </c>
      <c r="B303" s="35" t="s">
        <v>718</v>
      </c>
      <c r="C303" s="34" t="s">
        <v>328</v>
      </c>
      <c r="D303" s="34" t="s">
        <v>817</v>
      </c>
      <c r="E303" s="34" t="s">
        <v>818</v>
      </c>
      <c r="F303" s="46">
        <v>47</v>
      </c>
      <c r="G303" s="46"/>
      <c r="H303" s="14">
        <f>IF(Assessment_Sheet[[#This Row],[NAME ]]="","",ROUND((G303/60*40),0))</f>
        <v>0</v>
      </c>
      <c r="I303" s="15">
        <f t="shared" si="5"/>
        <v>47</v>
      </c>
      <c r="J303" s="16" t="str">
        <f>IF(B303="","",IF(OR(F303="",G303=""),"IC",VLOOKUP(I303,Scale[],2,1)))</f>
        <v>IC</v>
      </c>
    </row>
    <row r="304" spans="1:10" x14ac:dyDescent="0.35">
      <c r="A304" s="34">
        <v>298</v>
      </c>
      <c r="B304" s="35" t="s">
        <v>719</v>
      </c>
      <c r="C304" s="34" t="s">
        <v>329</v>
      </c>
      <c r="D304" s="34" t="s">
        <v>817</v>
      </c>
      <c r="E304" s="34" t="s">
        <v>818</v>
      </c>
      <c r="F304" s="46">
        <v>54</v>
      </c>
      <c r="G304" s="46"/>
      <c r="H304" s="14">
        <f>IF(Assessment_Sheet[[#This Row],[NAME ]]="","",ROUND((G304/60*40),0))</f>
        <v>0</v>
      </c>
      <c r="I304" s="15">
        <f t="shared" si="5"/>
        <v>54</v>
      </c>
      <c r="J304" s="16" t="str">
        <f>IF(B304="","",IF(OR(F304="",G304=""),"IC",VLOOKUP(I304,Scale[],2,1)))</f>
        <v>IC</v>
      </c>
    </row>
    <row r="305" spans="1:10" x14ac:dyDescent="0.35">
      <c r="A305" s="34">
        <v>299</v>
      </c>
      <c r="B305" s="35" t="s">
        <v>720</v>
      </c>
      <c r="C305" s="34" t="s">
        <v>330</v>
      </c>
      <c r="D305" s="34" t="s">
        <v>817</v>
      </c>
      <c r="E305" s="34" t="s">
        <v>818</v>
      </c>
      <c r="F305" s="46"/>
      <c r="G305" s="46"/>
      <c r="H305" s="14">
        <f>IF(Assessment_Sheet[[#This Row],[NAME ]]="","",ROUND((G305/60*40),0))</f>
        <v>0</v>
      </c>
      <c r="I305" s="15">
        <f t="shared" si="5"/>
        <v>0</v>
      </c>
      <c r="J305" s="16" t="str">
        <f>IF(B305="","",IF(OR(F305="",G305=""),"IC",VLOOKUP(I305,Scale[],2,1)))</f>
        <v>IC</v>
      </c>
    </row>
    <row r="306" spans="1:10" x14ac:dyDescent="0.35">
      <c r="A306" s="34">
        <v>300</v>
      </c>
      <c r="B306" s="35" t="s">
        <v>721</v>
      </c>
      <c r="C306" s="34" t="s">
        <v>331</v>
      </c>
      <c r="D306" s="34" t="s">
        <v>817</v>
      </c>
      <c r="E306" s="34" t="s">
        <v>818</v>
      </c>
      <c r="F306" s="46">
        <v>52</v>
      </c>
      <c r="G306" s="46"/>
      <c r="H306" s="14">
        <f>IF(Assessment_Sheet[[#This Row],[NAME ]]="","",ROUND((G306/60*40),0))</f>
        <v>0</v>
      </c>
      <c r="I306" s="15">
        <f t="shared" si="5"/>
        <v>52</v>
      </c>
      <c r="J306" s="16" t="str">
        <f>IF(B306="","",IF(OR(F306="",G306=""),"IC",VLOOKUP(I306,Scale[],2,1)))</f>
        <v>IC</v>
      </c>
    </row>
    <row r="307" spans="1:10" x14ac:dyDescent="0.35">
      <c r="A307" s="34">
        <v>301</v>
      </c>
      <c r="B307" s="35" t="s">
        <v>722</v>
      </c>
      <c r="C307" s="34" t="s">
        <v>332</v>
      </c>
      <c r="D307" s="34" t="s">
        <v>817</v>
      </c>
      <c r="E307" s="34" t="s">
        <v>818</v>
      </c>
      <c r="F307" s="46">
        <v>50</v>
      </c>
      <c r="G307" s="46"/>
      <c r="H307" s="14">
        <f>IF(Assessment_Sheet[[#This Row],[NAME ]]="","",ROUND((G307/60*40),0))</f>
        <v>0</v>
      </c>
      <c r="I307" s="15">
        <f t="shared" si="5"/>
        <v>50</v>
      </c>
      <c r="J307" s="16" t="str">
        <f>IF(B307="","",IF(OR(F307="",G307=""),"IC",VLOOKUP(I307,Scale[],2,1)))</f>
        <v>IC</v>
      </c>
    </row>
    <row r="308" spans="1:10" x14ac:dyDescent="0.35">
      <c r="A308" s="34">
        <v>302</v>
      </c>
      <c r="B308" s="35" t="s">
        <v>723</v>
      </c>
      <c r="C308" s="34" t="s">
        <v>333</v>
      </c>
      <c r="D308" s="34" t="s">
        <v>817</v>
      </c>
      <c r="E308" s="34" t="s">
        <v>818</v>
      </c>
      <c r="F308" s="46">
        <v>54</v>
      </c>
      <c r="G308" s="46"/>
      <c r="H308" s="14">
        <f>IF(Assessment_Sheet[[#This Row],[NAME ]]="","",ROUND((G308/60*40),0))</f>
        <v>0</v>
      </c>
      <c r="I308" s="15">
        <f t="shared" si="5"/>
        <v>54</v>
      </c>
      <c r="J308" s="16" t="str">
        <f>IF(B308="","",IF(OR(F308="",G308=""),"IC",VLOOKUP(I308,Scale[],2,1)))</f>
        <v>IC</v>
      </c>
    </row>
    <row r="309" spans="1:10" x14ac:dyDescent="0.35">
      <c r="A309" s="34">
        <v>303</v>
      </c>
      <c r="B309" s="35" t="s">
        <v>724</v>
      </c>
      <c r="C309" s="34" t="s">
        <v>334</v>
      </c>
      <c r="D309" s="34" t="s">
        <v>817</v>
      </c>
      <c r="E309" s="34" t="s">
        <v>818</v>
      </c>
      <c r="F309" s="46">
        <v>48</v>
      </c>
      <c r="G309" s="46"/>
      <c r="H309" s="14">
        <f>IF(Assessment_Sheet[[#This Row],[NAME ]]="","",ROUND((G309/60*40),0))</f>
        <v>0</v>
      </c>
      <c r="I309" s="15">
        <f t="shared" si="5"/>
        <v>48</v>
      </c>
      <c r="J309" s="16" t="str">
        <f>IF(B309="","",IF(OR(F309="",G309=""),"IC",VLOOKUP(I309,Scale[],2,1)))</f>
        <v>IC</v>
      </c>
    </row>
    <row r="310" spans="1:10" x14ac:dyDescent="0.35">
      <c r="A310" s="34">
        <v>304</v>
      </c>
      <c r="B310" s="35" t="s">
        <v>725</v>
      </c>
      <c r="C310" s="34" t="s">
        <v>335</v>
      </c>
      <c r="D310" s="34" t="s">
        <v>817</v>
      </c>
      <c r="E310" s="34" t="s">
        <v>818</v>
      </c>
      <c r="F310" s="46">
        <v>55</v>
      </c>
      <c r="G310" s="46"/>
      <c r="H310" s="14">
        <f>IF(Assessment_Sheet[[#This Row],[NAME ]]="","",ROUND((G310/60*40),0))</f>
        <v>0</v>
      </c>
      <c r="I310" s="15">
        <f t="shared" si="5"/>
        <v>55</v>
      </c>
      <c r="J310" s="16" t="str">
        <f>IF(B310="","",IF(OR(F310="",G310=""),"IC",VLOOKUP(I310,Scale[],2,1)))</f>
        <v>IC</v>
      </c>
    </row>
    <row r="311" spans="1:10" x14ac:dyDescent="0.35">
      <c r="A311" s="34">
        <v>305</v>
      </c>
      <c r="B311" s="35" t="s">
        <v>726</v>
      </c>
      <c r="C311" s="34" t="s">
        <v>336</v>
      </c>
      <c r="D311" s="34" t="s">
        <v>817</v>
      </c>
      <c r="E311" s="34" t="s">
        <v>818</v>
      </c>
      <c r="F311" s="46">
        <v>50</v>
      </c>
      <c r="G311" s="46"/>
      <c r="H311" s="14">
        <f>IF(Assessment_Sheet[[#This Row],[NAME ]]="","",ROUND((G311/60*40),0))</f>
        <v>0</v>
      </c>
      <c r="I311" s="15">
        <f t="shared" si="5"/>
        <v>50</v>
      </c>
      <c r="J311" s="16" t="str">
        <f>IF(B311="","",IF(OR(F311="",G311=""),"IC",VLOOKUP(I311,Scale[],2,1)))</f>
        <v>IC</v>
      </c>
    </row>
    <row r="312" spans="1:10" x14ac:dyDescent="0.35">
      <c r="A312" s="34">
        <v>306</v>
      </c>
      <c r="B312" s="35" t="s">
        <v>727</v>
      </c>
      <c r="C312" s="34" t="s">
        <v>337</v>
      </c>
      <c r="D312" s="34" t="s">
        <v>817</v>
      </c>
      <c r="E312" s="34" t="s">
        <v>818</v>
      </c>
      <c r="F312" s="46">
        <v>47</v>
      </c>
      <c r="G312" s="46"/>
      <c r="H312" s="14">
        <f>IF(Assessment_Sheet[[#This Row],[NAME ]]="","",ROUND((G312/60*40),0))</f>
        <v>0</v>
      </c>
      <c r="I312" s="15">
        <f t="shared" si="5"/>
        <v>47</v>
      </c>
      <c r="J312" s="16" t="str">
        <f>IF(B312="","",IF(OR(F312="",G312=""),"IC",VLOOKUP(I312,Scale[],2,1)))</f>
        <v>IC</v>
      </c>
    </row>
    <row r="313" spans="1:10" x14ac:dyDescent="0.35">
      <c r="A313" s="34">
        <v>307</v>
      </c>
      <c r="B313" s="35" t="s">
        <v>728</v>
      </c>
      <c r="C313" s="34" t="s">
        <v>338</v>
      </c>
      <c r="D313" s="34" t="s">
        <v>817</v>
      </c>
      <c r="E313" s="34" t="s">
        <v>818</v>
      </c>
      <c r="F313" s="46"/>
      <c r="G313" s="46"/>
      <c r="H313" s="14">
        <f>IF(Assessment_Sheet[[#This Row],[NAME ]]="","",ROUND((G313/60*40),0))</f>
        <v>0</v>
      </c>
      <c r="I313" s="15">
        <f t="shared" si="5"/>
        <v>0</v>
      </c>
      <c r="J313" s="16" t="str">
        <f>IF(B313="","",IF(OR(F313="",G313=""),"IC",VLOOKUP(I313,Scale[],2,1)))</f>
        <v>IC</v>
      </c>
    </row>
    <row r="314" spans="1:10" x14ac:dyDescent="0.35">
      <c r="A314" s="34">
        <v>308</v>
      </c>
      <c r="B314" s="35" t="s">
        <v>729</v>
      </c>
      <c r="C314" s="34" t="s">
        <v>339</v>
      </c>
      <c r="D314" s="34" t="s">
        <v>817</v>
      </c>
      <c r="E314" s="34" t="s">
        <v>818</v>
      </c>
      <c r="F314" s="46">
        <v>53</v>
      </c>
      <c r="G314" s="46"/>
      <c r="H314" s="14">
        <f>IF(Assessment_Sheet[[#This Row],[NAME ]]="","",ROUND((G314/60*40),0))</f>
        <v>0</v>
      </c>
      <c r="I314" s="15">
        <f t="shared" si="5"/>
        <v>53</v>
      </c>
      <c r="J314" s="16" t="str">
        <f>IF(B314="","",IF(OR(F314="",G314=""),"IC",VLOOKUP(I314,Scale[],2,1)))</f>
        <v>IC</v>
      </c>
    </row>
    <row r="315" spans="1:10" x14ac:dyDescent="0.35">
      <c r="A315" s="34">
        <v>309</v>
      </c>
      <c r="B315" s="35" t="s">
        <v>730</v>
      </c>
      <c r="C315" s="34" t="s">
        <v>340</v>
      </c>
      <c r="D315" s="34" t="s">
        <v>817</v>
      </c>
      <c r="E315" s="34" t="s">
        <v>818</v>
      </c>
      <c r="F315" s="46">
        <v>56</v>
      </c>
      <c r="G315" s="46"/>
      <c r="H315" s="14">
        <f>IF(Assessment_Sheet[[#This Row],[NAME ]]="","",ROUND((G315/60*40),0))</f>
        <v>0</v>
      </c>
      <c r="I315" s="15">
        <f t="shared" si="5"/>
        <v>56</v>
      </c>
      <c r="J315" s="16" t="str">
        <f>IF(B315="","",IF(OR(F315="",G315=""),"IC",VLOOKUP(I315,Scale[],2,1)))</f>
        <v>IC</v>
      </c>
    </row>
    <row r="316" spans="1:10" x14ac:dyDescent="0.35">
      <c r="A316" s="34">
        <v>310</v>
      </c>
      <c r="B316" s="35" t="s">
        <v>731</v>
      </c>
      <c r="C316" s="34" t="s">
        <v>341</v>
      </c>
      <c r="D316" s="34" t="s">
        <v>817</v>
      </c>
      <c r="E316" s="34" t="s">
        <v>818</v>
      </c>
      <c r="F316" s="46">
        <v>55</v>
      </c>
      <c r="G316" s="46"/>
      <c r="H316" s="14">
        <f>IF(Assessment_Sheet[[#This Row],[NAME ]]="","",ROUND((G316/60*40),0))</f>
        <v>0</v>
      </c>
      <c r="I316" s="15">
        <f t="shared" si="5"/>
        <v>55</v>
      </c>
      <c r="J316" s="16" t="str">
        <f>IF(B316="","",IF(OR(F316="",G316=""),"IC",VLOOKUP(I316,Scale[],2,1)))</f>
        <v>IC</v>
      </c>
    </row>
    <row r="317" spans="1:10" x14ac:dyDescent="0.35">
      <c r="A317" s="34">
        <v>311</v>
      </c>
      <c r="B317" s="35" t="s">
        <v>732</v>
      </c>
      <c r="C317" s="34" t="s">
        <v>342</v>
      </c>
      <c r="D317" s="34" t="s">
        <v>817</v>
      </c>
      <c r="E317" s="34" t="s">
        <v>818</v>
      </c>
      <c r="F317" s="46">
        <v>55</v>
      </c>
      <c r="G317" s="46"/>
      <c r="H317" s="14">
        <f>IF(Assessment_Sheet[[#This Row],[NAME ]]="","",ROUND((G317/60*40),0))</f>
        <v>0</v>
      </c>
      <c r="I317" s="15">
        <f t="shared" si="5"/>
        <v>55</v>
      </c>
      <c r="J317" s="16" t="str">
        <f>IF(B317="","",IF(OR(F317="",G317=""),"IC",VLOOKUP(I317,Scale[],2,1)))</f>
        <v>IC</v>
      </c>
    </row>
    <row r="318" spans="1:10" x14ac:dyDescent="0.35">
      <c r="A318" s="34">
        <v>312</v>
      </c>
      <c r="B318" s="35" t="s">
        <v>733</v>
      </c>
      <c r="C318" s="34" t="s">
        <v>343</v>
      </c>
      <c r="D318" s="34" t="s">
        <v>817</v>
      </c>
      <c r="E318" s="34" t="s">
        <v>818</v>
      </c>
      <c r="F318" s="46">
        <v>53</v>
      </c>
      <c r="G318" s="46"/>
      <c r="H318" s="14">
        <f>IF(Assessment_Sheet[[#This Row],[NAME ]]="","",ROUND((G318/60*40),0))</f>
        <v>0</v>
      </c>
      <c r="I318" s="15">
        <f t="shared" si="5"/>
        <v>53</v>
      </c>
      <c r="J318" s="16" t="str">
        <f>IF(B318="","",IF(OR(F318="",G318=""),"IC",VLOOKUP(I318,Scale[],2,1)))</f>
        <v>IC</v>
      </c>
    </row>
    <row r="319" spans="1:10" x14ac:dyDescent="0.35">
      <c r="A319" s="34">
        <v>313</v>
      </c>
      <c r="B319" s="35" t="s">
        <v>734</v>
      </c>
      <c r="C319" s="34" t="s">
        <v>344</v>
      </c>
      <c r="D319" s="34" t="s">
        <v>817</v>
      </c>
      <c r="E319" s="34" t="s">
        <v>818</v>
      </c>
      <c r="F319" s="46">
        <v>55</v>
      </c>
      <c r="G319" s="46"/>
      <c r="H319" s="14">
        <f>IF(Assessment_Sheet[[#This Row],[NAME ]]="","",ROUND((G319/60*40),0))</f>
        <v>0</v>
      </c>
      <c r="I319" s="15">
        <f t="shared" si="5"/>
        <v>55</v>
      </c>
      <c r="J319" s="16" t="str">
        <f>IF(B319="","",IF(OR(F319="",G319=""),"IC",VLOOKUP(I319,Scale[],2,1)))</f>
        <v>IC</v>
      </c>
    </row>
    <row r="320" spans="1:10" x14ac:dyDescent="0.35">
      <c r="A320" s="34">
        <v>314</v>
      </c>
      <c r="B320" s="35" t="s">
        <v>735</v>
      </c>
      <c r="C320" s="34" t="s">
        <v>345</v>
      </c>
      <c r="D320" s="34" t="s">
        <v>817</v>
      </c>
      <c r="E320" s="34" t="s">
        <v>818</v>
      </c>
      <c r="F320" s="46"/>
      <c r="G320" s="46"/>
      <c r="H320" s="14">
        <f>IF(Assessment_Sheet[[#This Row],[NAME ]]="","",ROUND((G320/60*40),0))</f>
        <v>0</v>
      </c>
      <c r="I320" s="15">
        <f t="shared" si="5"/>
        <v>0</v>
      </c>
      <c r="J320" s="16" t="str">
        <f>IF(B320="","",IF(OR(F320="",G320=""),"IC",VLOOKUP(I320,Scale[],2,1)))</f>
        <v>IC</v>
      </c>
    </row>
    <row r="321" spans="1:10" x14ac:dyDescent="0.35">
      <c r="A321" s="34">
        <v>315</v>
      </c>
      <c r="B321" s="35" t="s">
        <v>736</v>
      </c>
      <c r="C321" s="34" t="s">
        <v>346</v>
      </c>
      <c r="D321" s="34" t="s">
        <v>817</v>
      </c>
      <c r="E321" s="34" t="s">
        <v>818</v>
      </c>
      <c r="F321" s="46">
        <v>51</v>
      </c>
      <c r="G321" s="46"/>
      <c r="H321" s="14">
        <f>IF(Assessment_Sheet[[#This Row],[NAME ]]="","",ROUND((G321/60*40),0))</f>
        <v>0</v>
      </c>
      <c r="I321" s="15">
        <f t="shared" si="5"/>
        <v>51</v>
      </c>
      <c r="J321" s="16" t="str">
        <f>IF(B321="","",IF(OR(F321="",G321=""),"IC",VLOOKUP(I321,Scale[],2,1)))</f>
        <v>IC</v>
      </c>
    </row>
    <row r="322" spans="1:10" x14ac:dyDescent="0.35">
      <c r="A322" s="34">
        <v>316</v>
      </c>
      <c r="B322" s="35" t="s">
        <v>737</v>
      </c>
      <c r="C322" s="34" t="s">
        <v>347</v>
      </c>
      <c r="D322" s="34" t="s">
        <v>817</v>
      </c>
      <c r="E322" s="34" t="s">
        <v>818</v>
      </c>
      <c r="F322" s="46">
        <v>56</v>
      </c>
      <c r="G322" s="46"/>
      <c r="H322" s="14">
        <f>IF(Assessment_Sheet[[#This Row],[NAME ]]="","",ROUND((G322/60*40),0))</f>
        <v>0</v>
      </c>
      <c r="I322" s="15">
        <f t="shared" si="5"/>
        <v>56</v>
      </c>
      <c r="J322" s="16" t="str">
        <f>IF(B322="","",IF(OR(F322="",G322=""),"IC",VLOOKUP(I322,Scale[],2,1)))</f>
        <v>IC</v>
      </c>
    </row>
    <row r="323" spans="1:10" x14ac:dyDescent="0.35">
      <c r="A323" s="34">
        <v>317</v>
      </c>
      <c r="B323" s="35" t="s">
        <v>738</v>
      </c>
      <c r="C323" s="34" t="s">
        <v>348</v>
      </c>
      <c r="D323" s="34" t="s">
        <v>817</v>
      </c>
      <c r="E323" s="34" t="s">
        <v>818</v>
      </c>
      <c r="F323" s="46">
        <v>50</v>
      </c>
      <c r="G323" s="46"/>
      <c r="H323" s="14">
        <f>IF(Assessment_Sheet[[#This Row],[NAME ]]="","",ROUND((G323/60*40),0))</f>
        <v>0</v>
      </c>
      <c r="I323" s="15">
        <f t="shared" si="5"/>
        <v>50</v>
      </c>
      <c r="J323" s="16" t="str">
        <f>IF(B323="","",IF(OR(F323="",G323=""),"IC",VLOOKUP(I323,Scale[],2,1)))</f>
        <v>IC</v>
      </c>
    </row>
    <row r="324" spans="1:10" x14ac:dyDescent="0.35">
      <c r="A324" s="34">
        <v>318</v>
      </c>
      <c r="B324" s="35" t="s">
        <v>739</v>
      </c>
      <c r="C324" s="34" t="s">
        <v>349</v>
      </c>
      <c r="D324" s="34" t="s">
        <v>817</v>
      </c>
      <c r="E324" s="34" t="s">
        <v>818</v>
      </c>
      <c r="F324" s="46">
        <v>55</v>
      </c>
      <c r="G324" s="46"/>
      <c r="H324" s="14">
        <f>IF(Assessment_Sheet[[#This Row],[NAME ]]="","",ROUND((G324/60*40),0))</f>
        <v>0</v>
      </c>
      <c r="I324" s="15">
        <f t="shared" si="5"/>
        <v>55</v>
      </c>
      <c r="J324" s="16" t="str">
        <f>IF(B324="","",IF(OR(F324="",G324=""),"IC",VLOOKUP(I324,Scale[],2,1)))</f>
        <v>IC</v>
      </c>
    </row>
    <row r="325" spans="1:10" x14ac:dyDescent="0.35">
      <c r="A325" s="34">
        <v>319</v>
      </c>
      <c r="B325" s="35" t="s">
        <v>740</v>
      </c>
      <c r="C325" s="34" t="s">
        <v>350</v>
      </c>
      <c r="D325" s="34" t="s">
        <v>817</v>
      </c>
      <c r="E325" s="34" t="s">
        <v>818</v>
      </c>
      <c r="F325" s="46">
        <v>54</v>
      </c>
      <c r="G325" s="46"/>
      <c r="H325" s="14">
        <f>IF(Assessment_Sheet[[#This Row],[NAME ]]="","",ROUND((G325/60*40),0))</f>
        <v>0</v>
      </c>
      <c r="I325" s="15">
        <f t="shared" si="5"/>
        <v>54</v>
      </c>
      <c r="J325" s="16" t="str">
        <f>IF(B325="","",IF(OR(F325="",G325=""),"IC",VLOOKUP(I325,Scale[],2,1)))</f>
        <v>IC</v>
      </c>
    </row>
    <row r="326" spans="1:10" x14ac:dyDescent="0.35">
      <c r="A326" s="34">
        <v>320</v>
      </c>
      <c r="B326" s="35" t="s">
        <v>741</v>
      </c>
      <c r="C326" s="34" t="s">
        <v>351</v>
      </c>
      <c r="D326" s="34" t="s">
        <v>817</v>
      </c>
      <c r="E326" s="34" t="s">
        <v>818</v>
      </c>
      <c r="F326" s="46">
        <v>50</v>
      </c>
      <c r="G326" s="46"/>
      <c r="H326" s="14">
        <f>IF(Assessment_Sheet[[#This Row],[NAME ]]="","",ROUND((G326/60*40),0))</f>
        <v>0</v>
      </c>
      <c r="I326" s="15">
        <f t="shared" si="5"/>
        <v>50</v>
      </c>
      <c r="J326" s="16" t="str">
        <f>IF(B326="","",IF(OR(F326="",G326=""),"IC",VLOOKUP(I326,Scale[],2,1)))</f>
        <v>IC</v>
      </c>
    </row>
    <row r="327" spans="1:10" x14ac:dyDescent="0.35">
      <c r="A327" s="34">
        <v>321</v>
      </c>
      <c r="B327" s="35" t="s">
        <v>742</v>
      </c>
      <c r="C327" s="34" t="s">
        <v>352</v>
      </c>
      <c r="D327" s="34" t="s">
        <v>817</v>
      </c>
      <c r="E327" s="34" t="s">
        <v>818</v>
      </c>
      <c r="F327" s="46">
        <v>51</v>
      </c>
      <c r="G327" s="46"/>
      <c r="H327" s="14">
        <f>IF(Assessment_Sheet[[#This Row],[NAME ]]="","",ROUND((G327/60*40),0))</f>
        <v>0</v>
      </c>
      <c r="I327" s="15">
        <f t="shared" si="5"/>
        <v>51</v>
      </c>
      <c r="J327" s="16" t="str">
        <f>IF(B327="","",IF(OR(F327="",G327=""),"IC",VLOOKUP(I327,Scale[],2,1)))</f>
        <v>IC</v>
      </c>
    </row>
    <row r="328" spans="1:10" x14ac:dyDescent="0.35">
      <c r="A328" s="34">
        <v>322</v>
      </c>
      <c r="B328" s="35" t="s">
        <v>743</v>
      </c>
      <c r="C328" s="34" t="s">
        <v>353</v>
      </c>
      <c r="D328" s="34" t="s">
        <v>817</v>
      </c>
      <c r="E328" s="34" t="s">
        <v>818</v>
      </c>
      <c r="F328" s="46"/>
      <c r="G328" s="46"/>
      <c r="H328" s="14">
        <f>IF(Assessment_Sheet[[#This Row],[NAME ]]="","",ROUND((G328/60*40),0))</f>
        <v>0</v>
      </c>
      <c r="I328" s="15">
        <f t="shared" ref="I328:I391" si="6">IFERROR(ROUND((F328+H328),0),"")</f>
        <v>0</v>
      </c>
      <c r="J328" s="16" t="str">
        <f>IF(B328="","",IF(OR(F328="",G328=""),"IC",VLOOKUP(I328,Scale[],2,1)))</f>
        <v>IC</v>
      </c>
    </row>
    <row r="329" spans="1:10" x14ac:dyDescent="0.35">
      <c r="A329" s="34">
        <v>323</v>
      </c>
      <c r="B329" s="35" t="s">
        <v>744</v>
      </c>
      <c r="C329" s="34" t="s">
        <v>354</v>
      </c>
      <c r="D329" s="34" t="s">
        <v>817</v>
      </c>
      <c r="E329" s="34" t="s">
        <v>818</v>
      </c>
      <c r="F329" s="46">
        <v>53</v>
      </c>
      <c r="G329" s="46"/>
      <c r="H329" s="14">
        <f>IF(Assessment_Sheet[[#This Row],[NAME ]]="","",ROUND((G329/60*40),0))</f>
        <v>0</v>
      </c>
      <c r="I329" s="15">
        <f t="shared" si="6"/>
        <v>53</v>
      </c>
      <c r="J329" s="16" t="str">
        <f>IF(B329="","",IF(OR(F329="",G329=""),"IC",VLOOKUP(I329,Scale[],2,1)))</f>
        <v>IC</v>
      </c>
    </row>
    <row r="330" spans="1:10" x14ac:dyDescent="0.35">
      <c r="A330" s="34">
        <v>324</v>
      </c>
      <c r="B330" s="35" t="s">
        <v>745</v>
      </c>
      <c r="C330" s="34" t="s">
        <v>355</v>
      </c>
      <c r="D330" s="34" t="s">
        <v>817</v>
      </c>
      <c r="E330" s="34" t="s">
        <v>818</v>
      </c>
      <c r="F330" s="46">
        <v>48</v>
      </c>
      <c r="G330" s="46"/>
      <c r="H330" s="14">
        <f>IF(Assessment_Sheet[[#This Row],[NAME ]]="","",ROUND((G330/60*40),0))</f>
        <v>0</v>
      </c>
      <c r="I330" s="15">
        <f t="shared" si="6"/>
        <v>48</v>
      </c>
      <c r="J330" s="16" t="str">
        <f>IF(B330="","",IF(OR(F330="",G330=""),"IC",VLOOKUP(I330,Scale[],2,1)))</f>
        <v>IC</v>
      </c>
    </row>
    <row r="331" spans="1:10" x14ac:dyDescent="0.35">
      <c r="A331" s="34">
        <v>325</v>
      </c>
      <c r="B331" s="35" t="s">
        <v>746</v>
      </c>
      <c r="C331" s="34" t="s">
        <v>356</v>
      </c>
      <c r="D331" s="34" t="s">
        <v>817</v>
      </c>
      <c r="E331" s="34" t="s">
        <v>818</v>
      </c>
      <c r="F331" s="46">
        <v>52</v>
      </c>
      <c r="G331" s="46"/>
      <c r="H331" s="14">
        <f>IF(Assessment_Sheet[[#This Row],[NAME ]]="","",ROUND((G331/60*40),0))</f>
        <v>0</v>
      </c>
      <c r="I331" s="15">
        <f>IFERROR(ROUND((F331+H331),0),"")</f>
        <v>52</v>
      </c>
      <c r="J331" s="16" t="str">
        <f>IF(B331="","",IF(OR(F331="",G331=""),"IC",VLOOKUP(I331,Scale[],2,1)))</f>
        <v>IC</v>
      </c>
    </row>
    <row r="332" spans="1:10" x14ac:dyDescent="0.35">
      <c r="A332" s="34">
        <v>326</v>
      </c>
      <c r="B332" s="35" t="s">
        <v>747</v>
      </c>
      <c r="C332" s="34" t="s">
        <v>357</v>
      </c>
      <c r="D332" s="34" t="s">
        <v>817</v>
      </c>
      <c r="E332" s="34" t="s">
        <v>818</v>
      </c>
      <c r="F332" s="46">
        <v>49</v>
      </c>
      <c r="G332" s="46"/>
      <c r="H332" s="14">
        <f>IF(Assessment_Sheet[[#This Row],[NAME ]]="","",ROUND((G332/60*40),0))</f>
        <v>0</v>
      </c>
      <c r="I332" s="15">
        <f>IFERROR(ROUND((F332+H332),0),"")</f>
        <v>49</v>
      </c>
      <c r="J332" s="16" t="str">
        <f>IF(B332="","",IF(OR(F332="",G332=""),"IC",VLOOKUP(I332,Scale[],2,1)))</f>
        <v>IC</v>
      </c>
    </row>
    <row r="333" spans="1:10" x14ac:dyDescent="0.35">
      <c r="A333" s="34">
        <v>327</v>
      </c>
      <c r="B333" s="35" t="s">
        <v>748</v>
      </c>
      <c r="C333" s="34" t="s">
        <v>358</v>
      </c>
      <c r="D333" s="34" t="s">
        <v>817</v>
      </c>
      <c r="E333" s="34" t="s">
        <v>818</v>
      </c>
      <c r="F333" s="46">
        <v>56</v>
      </c>
      <c r="G333" s="46"/>
      <c r="H333" s="14">
        <f>IF(Assessment_Sheet[[#This Row],[NAME ]]="","",ROUND((G333/60*40),0))</f>
        <v>0</v>
      </c>
      <c r="I333" s="15">
        <f>IFERROR(ROUND((F333+H333),0),"")</f>
        <v>56</v>
      </c>
      <c r="J333" s="16" t="str">
        <f>IF(B333="","",IF(OR(F333="",G333=""),"IC",VLOOKUP(I333,Scale[],2,1)))</f>
        <v>IC</v>
      </c>
    </row>
    <row r="334" spans="1:10" x14ac:dyDescent="0.35">
      <c r="A334" s="34">
        <v>328</v>
      </c>
      <c r="B334" s="35" t="s">
        <v>749</v>
      </c>
      <c r="C334" s="34" t="s">
        <v>359</v>
      </c>
      <c r="D334" s="34" t="s">
        <v>817</v>
      </c>
      <c r="E334" s="34" t="s">
        <v>818</v>
      </c>
      <c r="F334" s="46">
        <v>46</v>
      </c>
      <c r="G334" s="46"/>
      <c r="H334" s="14">
        <f>IF(Assessment_Sheet[[#This Row],[NAME ]]="","",ROUND((G334/60*40),0))</f>
        <v>0</v>
      </c>
      <c r="I334" s="15">
        <f t="shared" si="6"/>
        <v>46</v>
      </c>
      <c r="J334" s="16" t="str">
        <f>IF(B334="","",IF(OR(F334="",G334=""),"IC",VLOOKUP(I334,Scale[],2,1)))</f>
        <v>IC</v>
      </c>
    </row>
    <row r="335" spans="1:10" x14ac:dyDescent="0.35">
      <c r="A335" s="34">
        <v>329</v>
      </c>
      <c r="B335" s="35" t="s">
        <v>750</v>
      </c>
      <c r="C335" s="34" t="s">
        <v>360</v>
      </c>
      <c r="D335" s="34" t="s">
        <v>817</v>
      </c>
      <c r="E335" s="34" t="s">
        <v>818</v>
      </c>
      <c r="F335" s="46">
        <v>51</v>
      </c>
      <c r="G335" s="46"/>
      <c r="H335" s="14">
        <f>IF(Assessment_Sheet[[#This Row],[NAME ]]="","",ROUND((G335/60*40),0))</f>
        <v>0</v>
      </c>
      <c r="I335" s="15">
        <f t="shared" si="6"/>
        <v>51</v>
      </c>
      <c r="J335" s="16" t="str">
        <f>IF(B335="","",IF(OR(F335="",G335=""),"IC",VLOOKUP(I335,Scale[],2,1)))</f>
        <v>IC</v>
      </c>
    </row>
    <row r="336" spans="1:10" x14ac:dyDescent="0.35">
      <c r="A336" s="34">
        <v>330</v>
      </c>
      <c r="B336" s="35" t="s">
        <v>751</v>
      </c>
      <c r="C336" s="34" t="s">
        <v>361</v>
      </c>
      <c r="D336" s="34" t="s">
        <v>817</v>
      </c>
      <c r="E336" s="34" t="s">
        <v>818</v>
      </c>
      <c r="F336" s="46"/>
      <c r="G336" s="46"/>
      <c r="H336" s="14">
        <f>IF(Assessment_Sheet[[#This Row],[NAME ]]="","",ROUND((G336/60*40),0))</f>
        <v>0</v>
      </c>
      <c r="I336" s="15">
        <f t="shared" si="6"/>
        <v>0</v>
      </c>
      <c r="J336" s="16" t="str">
        <f>IF(B336="","",IF(OR(F336="",G336=""),"IC",VLOOKUP(I336,Scale[],2,1)))</f>
        <v>IC</v>
      </c>
    </row>
    <row r="337" spans="1:10" x14ac:dyDescent="0.35">
      <c r="A337" s="34">
        <v>331</v>
      </c>
      <c r="B337" s="35" t="s">
        <v>752</v>
      </c>
      <c r="C337" s="34" t="s">
        <v>362</v>
      </c>
      <c r="D337" s="34" t="s">
        <v>817</v>
      </c>
      <c r="E337" s="34" t="s">
        <v>818</v>
      </c>
      <c r="F337" s="46"/>
      <c r="G337" s="46"/>
      <c r="H337" s="14">
        <f>IF(Assessment_Sheet[[#This Row],[NAME ]]="","",ROUND((G337/60*40),0))</f>
        <v>0</v>
      </c>
      <c r="I337" s="15">
        <f t="shared" si="6"/>
        <v>0</v>
      </c>
      <c r="J337" s="16" t="str">
        <f>IF(B337="","",IF(OR(F337="",G337=""),"IC",VLOOKUP(I337,Scale[],2,1)))</f>
        <v>IC</v>
      </c>
    </row>
    <row r="338" spans="1:10" x14ac:dyDescent="0.35">
      <c r="A338" s="34">
        <v>332</v>
      </c>
      <c r="B338" s="35" t="s">
        <v>753</v>
      </c>
      <c r="C338" s="34" t="s">
        <v>363</v>
      </c>
      <c r="D338" s="34" t="s">
        <v>817</v>
      </c>
      <c r="E338" s="34" t="s">
        <v>818</v>
      </c>
      <c r="F338" s="46">
        <v>55</v>
      </c>
      <c r="G338" s="46"/>
      <c r="H338" s="14">
        <f>IF(Assessment_Sheet[[#This Row],[NAME ]]="","",ROUND((G338/60*40),0))</f>
        <v>0</v>
      </c>
      <c r="I338" s="15">
        <f t="shared" si="6"/>
        <v>55</v>
      </c>
      <c r="J338" s="16" t="str">
        <f>IF(B338="","",IF(OR(F338="",G338=""),"IC",VLOOKUP(I338,Scale[],2,1)))</f>
        <v>IC</v>
      </c>
    </row>
    <row r="339" spans="1:10" x14ac:dyDescent="0.35">
      <c r="A339" s="34">
        <v>333</v>
      </c>
      <c r="B339" s="35" t="s">
        <v>754</v>
      </c>
      <c r="C339" s="34" t="s">
        <v>364</v>
      </c>
      <c r="D339" s="34" t="s">
        <v>817</v>
      </c>
      <c r="E339" s="34" t="s">
        <v>818</v>
      </c>
      <c r="F339" s="46">
        <v>51</v>
      </c>
      <c r="G339" s="46"/>
      <c r="H339" s="14">
        <f>IF(Assessment_Sheet[[#This Row],[NAME ]]="","",ROUND((G339/60*40),0))</f>
        <v>0</v>
      </c>
      <c r="I339" s="15">
        <f t="shared" si="6"/>
        <v>51</v>
      </c>
      <c r="J339" s="16" t="str">
        <f>IF(B339="","",IF(OR(F339="",G339=""),"IC",VLOOKUP(I339,Scale[],2,1)))</f>
        <v>IC</v>
      </c>
    </row>
    <row r="340" spans="1:10" x14ac:dyDescent="0.35">
      <c r="A340" s="34">
        <v>334</v>
      </c>
      <c r="B340" s="35" t="s">
        <v>755</v>
      </c>
      <c r="C340" s="34" t="s">
        <v>365</v>
      </c>
      <c r="D340" s="34" t="s">
        <v>817</v>
      </c>
      <c r="E340" s="34" t="s">
        <v>818</v>
      </c>
      <c r="F340" s="46">
        <v>56</v>
      </c>
      <c r="G340" s="46"/>
      <c r="H340" s="14">
        <f>IF(Assessment_Sheet[[#This Row],[NAME ]]="","",ROUND((G340/60*40),0))</f>
        <v>0</v>
      </c>
      <c r="I340" s="15">
        <f t="shared" si="6"/>
        <v>56</v>
      </c>
      <c r="J340" s="16" t="str">
        <f>IF(B340="","",IF(OR(F340="",G340=""),"IC",VLOOKUP(I340,Scale[],2,1)))</f>
        <v>IC</v>
      </c>
    </row>
    <row r="341" spans="1:10" x14ac:dyDescent="0.35">
      <c r="A341" s="34">
        <v>335</v>
      </c>
      <c r="B341" s="35" t="s">
        <v>756</v>
      </c>
      <c r="C341" s="34" t="s">
        <v>366</v>
      </c>
      <c r="D341" s="34" t="s">
        <v>817</v>
      </c>
      <c r="E341" s="34" t="s">
        <v>818</v>
      </c>
      <c r="F341" s="46">
        <v>55</v>
      </c>
      <c r="G341" s="46"/>
      <c r="H341" s="14">
        <f>IF(Assessment_Sheet[[#This Row],[NAME ]]="","",ROUND((G341/60*40),0))</f>
        <v>0</v>
      </c>
      <c r="I341" s="15">
        <f t="shared" si="6"/>
        <v>55</v>
      </c>
      <c r="J341" s="16" t="str">
        <f>IF(B341="","",IF(OR(F341="",G341=""),"IC",VLOOKUP(I341,Scale[],2,1)))</f>
        <v>IC</v>
      </c>
    </row>
    <row r="342" spans="1:10" x14ac:dyDescent="0.35">
      <c r="A342" s="34">
        <v>336</v>
      </c>
      <c r="B342" s="35" t="s">
        <v>757</v>
      </c>
      <c r="C342" s="34" t="s">
        <v>367</v>
      </c>
      <c r="D342" s="34" t="s">
        <v>817</v>
      </c>
      <c r="E342" s="34" t="s">
        <v>818</v>
      </c>
      <c r="F342" s="46">
        <v>56</v>
      </c>
      <c r="G342" s="46"/>
      <c r="H342" s="14">
        <f>IF(Assessment_Sheet[[#This Row],[NAME ]]="","",ROUND((G342/60*40),0))</f>
        <v>0</v>
      </c>
      <c r="I342" s="15">
        <f t="shared" si="6"/>
        <v>56</v>
      </c>
      <c r="J342" s="16" t="str">
        <f>IF(B342="","",IF(OR(F342="",G342=""),"IC",VLOOKUP(I342,Scale[],2,1)))</f>
        <v>IC</v>
      </c>
    </row>
    <row r="343" spans="1:10" x14ac:dyDescent="0.35">
      <c r="A343" s="34">
        <v>337</v>
      </c>
      <c r="B343" s="35" t="s">
        <v>758</v>
      </c>
      <c r="C343" s="34" t="s">
        <v>368</v>
      </c>
      <c r="D343" s="34" t="s">
        <v>817</v>
      </c>
      <c r="E343" s="34" t="s">
        <v>818</v>
      </c>
      <c r="F343" s="46"/>
      <c r="G343" s="46"/>
      <c r="H343" s="14">
        <f>IF(Assessment_Sheet[[#This Row],[NAME ]]="","",ROUND((G343/60*40),0))</f>
        <v>0</v>
      </c>
      <c r="I343" s="15">
        <f t="shared" si="6"/>
        <v>0</v>
      </c>
      <c r="J343" s="16" t="str">
        <f>IF(B343="","",IF(OR(F343="",G343=""),"IC",VLOOKUP(I343,Scale[],2,1)))</f>
        <v>IC</v>
      </c>
    </row>
    <row r="344" spans="1:10" x14ac:dyDescent="0.35">
      <c r="A344" s="34">
        <v>338</v>
      </c>
      <c r="B344" s="35" t="s">
        <v>759</v>
      </c>
      <c r="C344" s="34" t="s">
        <v>369</v>
      </c>
      <c r="D344" s="34" t="s">
        <v>817</v>
      </c>
      <c r="E344" s="34" t="s">
        <v>818</v>
      </c>
      <c r="F344" s="46">
        <v>55</v>
      </c>
      <c r="G344" s="46"/>
      <c r="H344" s="14">
        <f>IF(Assessment_Sheet[[#This Row],[NAME ]]="","",ROUND((G344/60*40),0))</f>
        <v>0</v>
      </c>
      <c r="I344" s="15">
        <f t="shared" si="6"/>
        <v>55</v>
      </c>
      <c r="J344" s="16" t="str">
        <f>IF(B344="","",IF(OR(F344="",G344=""),"IC",VLOOKUP(I344,Scale[],2,1)))</f>
        <v>IC</v>
      </c>
    </row>
    <row r="345" spans="1:10" x14ac:dyDescent="0.35">
      <c r="A345" s="34">
        <v>339</v>
      </c>
      <c r="B345" s="35" t="s">
        <v>760</v>
      </c>
      <c r="C345" s="34" t="s">
        <v>370</v>
      </c>
      <c r="D345" s="34" t="s">
        <v>817</v>
      </c>
      <c r="E345" s="34" t="s">
        <v>818</v>
      </c>
      <c r="F345" s="46">
        <v>55</v>
      </c>
      <c r="G345" s="46"/>
      <c r="H345" s="14">
        <f>IF(Assessment_Sheet[[#This Row],[NAME ]]="","",ROUND((G345/60*40),0))</f>
        <v>0</v>
      </c>
      <c r="I345" s="15">
        <f t="shared" si="6"/>
        <v>55</v>
      </c>
      <c r="J345" s="16" t="str">
        <f>IF(B345="","",IF(OR(F345="",G345=""),"IC",VLOOKUP(I345,Scale[],2,1)))</f>
        <v>IC</v>
      </c>
    </row>
    <row r="346" spans="1:10" x14ac:dyDescent="0.35">
      <c r="A346" s="34">
        <v>340</v>
      </c>
      <c r="B346" s="35" t="s">
        <v>761</v>
      </c>
      <c r="C346" s="34" t="s">
        <v>371</v>
      </c>
      <c r="D346" s="34" t="s">
        <v>817</v>
      </c>
      <c r="E346" s="34" t="s">
        <v>818</v>
      </c>
      <c r="F346" s="46">
        <v>55</v>
      </c>
      <c r="G346" s="46"/>
      <c r="H346" s="14">
        <f>IF(Assessment_Sheet[[#This Row],[NAME ]]="","",ROUND((G346/60*40),0))</f>
        <v>0</v>
      </c>
      <c r="I346" s="15">
        <f t="shared" si="6"/>
        <v>55</v>
      </c>
      <c r="J346" s="16" t="str">
        <f>IF(B346="","",IF(OR(F346="",G346=""),"IC",VLOOKUP(I346,Scale[],2,1)))</f>
        <v>IC</v>
      </c>
    </row>
    <row r="347" spans="1:10" x14ac:dyDescent="0.35">
      <c r="A347" s="34">
        <v>341</v>
      </c>
      <c r="B347" s="35" t="s">
        <v>762</v>
      </c>
      <c r="C347" s="34" t="s">
        <v>372</v>
      </c>
      <c r="D347" s="34" t="s">
        <v>817</v>
      </c>
      <c r="E347" s="34" t="s">
        <v>818</v>
      </c>
      <c r="F347" s="46">
        <v>50</v>
      </c>
      <c r="G347" s="46"/>
      <c r="H347" s="14">
        <f>IF(Assessment_Sheet[[#This Row],[NAME ]]="","",ROUND((G347/60*40),0))</f>
        <v>0</v>
      </c>
      <c r="I347" s="15">
        <f t="shared" si="6"/>
        <v>50</v>
      </c>
      <c r="J347" s="16" t="str">
        <f>IF(B347="","",IF(OR(F347="",G347=""),"IC",VLOOKUP(I347,Scale[],2,1)))</f>
        <v>IC</v>
      </c>
    </row>
    <row r="348" spans="1:10" x14ac:dyDescent="0.35">
      <c r="A348" s="34">
        <v>342</v>
      </c>
      <c r="B348" s="35" t="s">
        <v>763</v>
      </c>
      <c r="C348" s="34" t="s">
        <v>373</v>
      </c>
      <c r="D348" s="34" t="s">
        <v>817</v>
      </c>
      <c r="E348" s="34" t="s">
        <v>818</v>
      </c>
      <c r="F348" s="46">
        <v>52</v>
      </c>
      <c r="G348" s="46"/>
      <c r="H348" s="14">
        <f>IF(Assessment_Sheet[[#This Row],[NAME ]]="","",ROUND((G348/60*40),0))</f>
        <v>0</v>
      </c>
      <c r="I348" s="15">
        <f t="shared" si="6"/>
        <v>52</v>
      </c>
      <c r="J348" s="16" t="str">
        <f>IF(B348="","",IF(OR(F348="",G348=""),"IC",VLOOKUP(I348,Scale[],2,1)))</f>
        <v>IC</v>
      </c>
    </row>
    <row r="349" spans="1:10" x14ac:dyDescent="0.35">
      <c r="A349" s="34">
        <v>343</v>
      </c>
      <c r="B349" s="35" t="s">
        <v>764</v>
      </c>
      <c r="C349" s="34" t="s">
        <v>374</v>
      </c>
      <c r="D349" s="34" t="s">
        <v>817</v>
      </c>
      <c r="E349" s="34" t="s">
        <v>818</v>
      </c>
      <c r="F349" s="46">
        <v>45</v>
      </c>
      <c r="G349" s="46"/>
      <c r="H349" s="14">
        <f>IF(Assessment_Sheet[[#This Row],[NAME ]]="","",ROUND((G349/60*40),0))</f>
        <v>0</v>
      </c>
      <c r="I349" s="15">
        <f t="shared" si="6"/>
        <v>45</v>
      </c>
      <c r="J349" s="16" t="str">
        <f>IF(B349="","",IF(OR(F349="",G349=""),"IC",VLOOKUP(I349,Scale[],2,1)))</f>
        <v>IC</v>
      </c>
    </row>
    <row r="350" spans="1:10" x14ac:dyDescent="0.35">
      <c r="A350" s="34">
        <v>344</v>
      </c>
      <c r="B350" s="35" t="s">
        <v>765</v>
      </c>
      <c r="C350" s="34" t="s">
        <v>375</v>
      </c>
      <c r="D350" s="34" t="s">
        <v>817</v>
      </c>
      <c r="E350" s="34" t="s">
        <v>818</v>
      </c>
      <c r="F350" s="46">
        <v>55</v>
      </c>
      <c r="G350" s="46"/>
      <c r="H350" s="14">
        <f>IF(Assessment_Sheet[[#This Row],[NAME ]]="","",ROUND((G350/60*40),0))</f>
        <v>0</v>
      </c>
      <c r="I350" s="15">
        <f t="shared" si="6"/>
        <v>55</v>
      </c>
      <c r="J350" s="16" t="str">
        <f>IF(B350="","",IF(OR(F350="",G350=""),"IC",VLOOKUP(I350,Scale[],2,1)))</f>
        <v>IC</v>
      </c>
    </row>
    <row r="351" spans="1:10" x14ac:dyDescent="0.35">
      <c r="A351" s="34">
        <v>345</v>
      </c>
      <c r="B351" s="35" t="s">
        <v>766</v>
      </c>
      <c r="C351" s="34" t="s">
        <v>376</v>
      </c>
      <c r="D351" s="34" t="s">
        <v>817</v>
      </c>
      <c r="E351" s="34" t="s">
        <v>818</v>
      </c>
      <c r="F351" s="46">
        <v>56</v>
      </c>
      <c r="G351" s="46"/>
      <c r="H351" s="14">
        <f>IF(Assessment_Sheet[[#This Row],[NAME ]]="","",ROUND((G351/60*40),0))</f>
        <v>0</v>
      </c>
      <c r="I351" s="15">
        <f t="shared" si="6"/>
        <v>56</v>
      </c>
      <c r="J351" s="16" t="str">
        <f>IF(B351="","",IF(OR(F351="",G351=""),"IC",VLOOKUP(I351,Scale[],2,1)))</f>
        <v>IC</v>
      </c>
    </row>
    <row r="352" spans="1:10" x14ac:dyDescent="0.35">
      <c r="A352" s="34">
        <v>346</v>
      </c>
      <c r="B352" s="35" t="s">
        <v>767</v>
      </c>
      <c r="C352" s="34" t="s">
        <v>377</v>
      </c>
      <c r="D352" s="34" t="s">
        <v>817</v>
      </c>
      <c r="E352" s="34" t="s">
        <v>818</v>
      </c>
      <c r="F352" s="46">
        <v>49</v>
      </c>
      <c r="G352" s="46"/>
      <c r="H352" s="14">
        <f>IF(Assessment_Sheet[[#This Row],[NAME ]]="","",ROUND((G352/60*40),0))</f>
        <v>0</v>
      </c>
      <c r="I352" s="15">
        <f t="shared" si="6"/>
        <v>49</v>
      </c>
      <c r="J352" s="16" t="str">
        <f>IF(B352="","",IF(OR(F352="",G352=""),"IC",VLOOKUP(I352,Scale[],2,1)))</f>
        <v>IC</v>
      </c>
    </row>
    <row r="353" spans="1:10" x14ac:dyDescent="0.35">
      <c r="A353" s="34">
        <v>347</v>
      </c>
      <c r="B353" s="35" t="s">
        <v>768</v>
      </c>
      <c r="C353" s="34" t="s">
        <v>378</v>
      </c>
      <c r="D353" s="34" t="s">
        <v>817</v>
      </c>
      <c r="E353" s="34" t="s">
        <v>818</v>
      </c>
      <c r="F353" s="46">
        <v>56</v>
      </c>
      <c r="G353" s="46"/>
      <c r="H353" s="14">
        <f>IF(Assessment_Sheet[[#This Row],[NAME ]]="","",ROUND((G353/60*40),0))</f>
        <v>0</v>
      </c>
      <c r="I353" s="15">
        <f t="shared" si="6"/>
        <v>56</v>
      </c>
      <c r="J353" s="16" t="str">
        <f>IF(B353="","",IF(OR(F353="",G353=""),"IC",VLOOKUP(I353,Scale[],2,1)))</f>
        <v>IC</v>
      </c>
    </row>
    <row r="354" spans="1:10" x14ac:dyDescent="0.35">
      <c r="A354" s="34">
        <v>348</v>
      </c>
      <c r="B354" s="35" t="s">
        <v>769</v>
      </c>
      <c r="C354" s="34" t="s">
        <v>379</v>
      </c>
      <c r="D354" s="34" t="s">
        <v>817</v>
      </c>
      <c r="E354" s="34" t="s">
        <v>818</v>
      </c>
      <c r="F354" s="46">
        <v>51</v>
      </c>
      <c r="G354" s="46"/>
      <c r="H354" s="14">
        <f>IF(Assessment_Sheet[[#This Row],[NAME ]]="","",ROUND((G354/60*40),0))</f>
        <v>0</v>
      </c>
      <c r="I354" s="15">
        <f t="shared" si="6"/>
        <v>51</v>
      </c>
      <c r="J354" s="16" t="str">
        <f>IF(B354="","",IF(OR(F354="",G354=""),"IC",VLOOKUP(I354,Scale[],2,1)))</f>
        <v>IC</v>
      </c>
    </row>
    <row r="355" spans="1:10" x14ac:dyDescent="0.35">
      <c r="A355" s="34">
        <v>349</v>
      </c>
      <c r="B355" s="35" t="s">
        <v>770</v>
      </c>
      <c r="C355" s="34" t="s">
        <v>380</v>
      </c>
      <c r="D355" s="34" t="s">
        <v>817</v>
      </c>
      <c r="E355" s="34" t="s">
        <v>818</v>
      </c>
      <c r="F355" s="46">
        <v>52</v>
      </c>
      <c r="G355" s="46"/>
      <c r="H355" s="14">
        <f>IF(Assessment_Sheet[[#This Row],[NAME ]]="","",ROUND((G355/60*40),0))</f>
        <v>0</v>
      </c>
      <c r="I355" s="15">
        <f t="shared" si="6"/>
        <v>52</v>
      </c>
      <c r="J355" s="16" t="str">
        <f>IF(B355="","",IF(OR(F355="",G355=""),"IC",VLOOKUP(I355,Scale[],2,1)))</f>
        <v>IC</v>
      </c>
    </row>
    <row r="356" spans="1:10" x14ac:dyDescent="0.35">
      <c r="A356" s="34">
        <v>350</v>
      </c>
      <c r="B356" s="35" t="s">
        <v>771</v>
      </c>
      <c r="C356" s="34" t="s">
        <v>381</v>
      </c>
      <c r="D356" s="34" t="s">
        <v>817</v>
      </c>
      <c r="E356" s="34" t="s">
        <v>818</v>
      </c>
      <c r="F356" s="46">
        <v>53</v>
      </c>
      <c r="G356" s="46"/>
      <c r="H356" s="14">
        <f>IF(Assessment_Sheet[[#This Row],[NAME ]]="","",ROUND((G356/60*40),0))</f>
        <v>0</v>
      </c>
      <c r="I356" s="15">
        <f t="shared" si="6"/>
        <v>53</v>
      </c>
      <c r="J356" s="16" t="str">
        <f>IF(B356="","",IF(OR(F356="",G356=""),"IC",VLOOKUP(I356,Scale[],2,1)))</f>
        <v>IC</v>
      </c>
    </row>
    <row r="357" spans="1:10" x14ac:dyDescent="0.35">
      <c r="A357" s="34">
        <v>351</v>
      </c>
      <c r="B357" s="35" t="s">
        <v>772</v>
      </c>
      <c r="C357" s="34" t="s">
        <v>382</v>
      </c>
      <c r="D357" s="34" t="s">
        <v>817</v>
      </c>
      <c r="E357" s="34" t="s">
        <v>818</v>
      </c>
      <c r="F357" s="46">
        <v>53</v>
      </c>
      <c r="G357" s="46"/>
      <c r="H357" s="14">
        <f>IF(Assessment_Sheet[[#This Row],[NAME ]]="","",ROUND((G357/60*40),0))</f>
        <v>0</v>
      </c>
      <c r="I357" s="15">
        <f t="shared" si="6"/>
        <v>53</v>
      </c>
      <c r="J357" s="16" t="str">
        <f>IF(B357="","",IF(OR(F357="",G357=""),"IC",VLOOKUP(I357,Scale[],2,1)))</f>
        <v>IC</v>
      </c>
    </row>
    <row r="358" spans="1:10" x14ac:dyDescent="0.35">
      <c r="A358" s="34">
        <v>352</v>
      </c>
      <c r="B358" s="35" t="s">
        <v>773</v>
      </c>
      <c r="C358" s="34" t="s">
        <v>383</v>
      </c>
      <c r="D358" s="34" t="s">
        <v>817</v>
      </c>
      <c r="E358" s="34" t="s">
        <v>818</v>
      </c>
      <c r="F358" s="46">
        <v>48</v>
      </c>
      <c r="G358" s="46"/>
      <c r="H358" s="14">
        <f>IF(Assessment_Sheet[[#This Row],[NAME ]]="","",ROUND((G358/60*40),0))</f>
        <v>0</v>
      </c>
      <c r="I358" s="15">
        <f t="shared" si="6"/>
        <v>48</v>
      </c>
      <c r="J358" s="16" t="str">
        <f>IF(B358="","",IF(OR(F358="",G358=""),"IC",VLOOKUP(I358,Scale[],2,1)))</f>
        <v>IC</v>
      </c>
    </row>
    <row r="359" spans="1:10" x14ac:dyDescent="0.35">
      <c r="A359" s="34">
        <v>353</v>
      </c>
      <c r="B359" s="35" t="s">
        <v>774</v>
      </c>
      <c r="C359" s="34" t="s">
        <v>384</v>
      </c>
      <c r="D359" s="34" t="s">
        <v>817</v>
      </c>
      <c r="E359" s="34" t="s">
        <v>818</v>
      </c>
      <c r="F359" s="46">
        <v>51</v>
      </c>
      <c r="G359" s="46"/>
      <c r="H359" s="14">
        <f>IF(Assessment_Sheet[[#This Row],[NAME ]]="","",ROUND((G359/60*40),0))</f>
        <v>0</v>
      </c>
      <c r="I359" s="15">
        <f t="shared" si="6"/>
        <v>51</v>
      </c>
      <c r="J359" s="16" t="str">
        <f>IF(B359="","",IF(OR(F359="",G359=""),"IC",VLOOKUP(I359,Scale[],2,1)))</f>
        <v>IC</v>
      </c>
    </row>
    <row r="360" spans="1:10" x14ac:dyDescent="0.35">
      <c r="A360" s="34">
        <v>354</v>
      </c>
      <c r="B360" s="35" t="s">
        <v>775</v>
      </c>
      <c r="C360" s="34" t="s">
        <v>385</v>
      </c>
      <c r="D360" s="34" t="s">
        <v>817</v>
      </c>
      <c r="E360" s="34" t="s">
        <v>818</v>
      </c>
      <c r="F360" s="46">
        <v>54</v>
      </c>
      <c r="G360" s="46"/>
      <c r="H360" s="14">
        <f>IF(Assessment_Sheet[[#This Row],[NAME ]]="","",ROUND((G360/60*40),0))</f>
        <v>0</v>
      </c>
      <c r="I360" s="15">
        <f t="shared" si="6"/>
        <v>54</v>
      </c>
      <c r="J360" s="16" t="str">
        <f>IF(B360="","",IF(OR(F360="",G360=""),"IC",VLOOKUP(I360,Scale[],2,1)))</f>
        <v>IC</v>
      </c>
    </row>
    <row r="361" spans="1:10" x14ac:dyDescent="0.35">
      <c r="A361" s="34">
        <v>355</v>
      </c>
      <c r="B361" s="35" t="s">
        <v>776</v>
      </c>
      <c r="C361" s="34" t="s">
        <v>386</v>
      </c>
      <c r="D361" s="34" t="s">
        <v>817</v>
      </c>
      <c r="E361" s="34" t="s">
        <v>818</v>
      </c>
      <c r="F361" s="46">
        <v>54</v>
      </c>
      <c r="G361" s="46"/>
      <c r="H361" s="14">
        <f>IF(Assessment_Sheet[[#This Row],[NAME ]]="","",ROUND((G361/60*40),0))</f>
        <v>0</v>
      </c>
      <c r="I361" s="15">
        <f t="shared" si="6"/>
        <v>54</v>
      </c>
      <c r="J361" s="16" t="str">
        <f>IF(B361="","",IF(OR(F361="",G361=""),"IC",VLOOKUP(I361,Scale[],2,1)))</f>
        <v>IC</v>
      </c>
    </row>
    <row r="362" spans="1:10" x14ac:dyDescent="0.35">
      <c r="A362" s="34">
        <v>356</v>
      </c>
      <c r="B362" s="35" t="s">
        <v>777</v>
      </c>
      <c r="C362" s="34" t="s">
        <v>387</v>
      </c>
      <c r="D362" s="34" t="s">
        <v>817</v>
      </c>
      <c r="E362" s="34" t="s">
        <v>818</v>
      </c>
      <c r="F362" s="46">
        <v>50</v>
      </c>
      <c r="G362" s="46"/>
      <c r="H362" s="14">
        <f>IF(Assessment_Sheet[[#This Row],[NAME ]]="","",ROUND((G362/60*40),0))</f>
        <v>0</v>
      </c>
      <c r="I362" s="15">
        <f t="shared" si="6"/>
        <v>50</v>
      </c>
      <c r="J362" s="16" t="str">
        <f>IF(B362="","",IF(OR(F362="",G362=""),"IC",VLOOKUP(I362,Scale[],2,1)))</f>
        <v>IC</v>
      </c>
    </row>
    <row r="363" spans="1:10" x14ac:dyDescent="0.35">
      <c r="A363" s="34">
        <v>357</v>
      </c>
      <c r="B363" s="35" t="s">
        <v>778</v>
      </c>
      <c r="C363" s="34" t="s">
        <v>388</v>
      </c>
      <c r="D363" s="34" t="s">
        <v>817</v>
      </c>
      <c r="E363" s="34" t="s">
        <v>818</v>
      </c>
      <c r="F363" s="46">
        <v>52</v>
      </c>
      <c r="G363" s="46"/>
      <c r="H363" s="14">
        <f>IF(Assessment_Sheet[[#This Row],[NAME ]]="","",ROUND((G363/60*40),0))</f>
        <v>0</v>
      </c>
      <c r="I363" s="15">
        <f t="shared" si="6"/>
        <v>52</v>
      </c>
      <c r="J363" s="16" t="str">
        <f>IF(B363="","",IF(OR(F363="",G363=""),"IC",VLOOKUP(I363,Scale[],2,1)))</f>
        <v>IC</v>
      </c>
    </row>
    <row r="364" spans="1:10" x14ac:dyDescent="0.35">
      <c r="A364" s="34">
        <v>358</v>
      </c>
      <c r="B364" s="35" t="s">
        <v>779</v>
      </c>
      <c r="C364" s="34" t="s">
        <v>389</v>
      </c>
      <c r="D364" s="34" t="s">
        <v>817</v>
      </c>
      <c r="E364" s="34" t="s">
        <v>818</v>
      </c>
      <c r="F364" s="46">
        <v>56</v>
      </c>
      <c r="G364" s="46"/>
      <c r="H364" s="14">
        <f>IF(Assessment_Sheet[[#This Row],[NAME ]]="","",ROUND((G364/60*40),0))</f>
        <v>0</v>
      </c>
      <c r="I364" s="15">
        <f t="shared" si="6"/>
        <v>56</v>
      </c>
      <c r="J364" s="16" t="str">
        <f>IF(B364="","",IF(OR(F364="",G364=""),"IC",VLOOKUP(I364,Scale[],2,1)))</f>
        <v>IC</v>
      </c>
    </row>
    <row r="365" spans="1:10" x14ac:dyDescent="0.35">
      <c r="A365" s="34">
        <v>359</v>
      </c>
      <c r="B365" s="35" t="s">
        <v>780</v>
      </c>
      <c r="C365" s="34" t="s">
        <v>390</v>
      </c>
      <c r="D365" s="34" t="s">
        <v>817</v>
      </c>
      <c r="E365" s="34" t="s">
        <v>818</v>
      </c>
      <c r="F365" s="46">
        <v>51</v>
      </c>
      <c r="G365" s="46"/>
      <c r="H365" s="14">
        <f>IF(Assessment_Sheet[[#This Row],[NAME ]]="","",ROUND((G365/60*40),0))</f>
        <v>0</v>
      </c>
      <c r="I365" s="15">
        <f t="shared" si="6"/>
        <v>51</v>
      </c>
      <c r="J365" s="16" t="str">
        <f>IF(B365="","",IF(OR(F365="",G365=""),"IC",VLOOKUP(I365,Scale[],2,1)))</f>
        <v>IC</v>
      </c>
    </row>
    <row r="366" spans="1:10" x14ac:dyDescent="0.35">
      <c r="A366" s="34">
        <v>360</v>
      </c>
      <c r="B366" s="35" t="s">
        <v>781</v>
      </c>
      <c r="C366" s="34" t="s">
        <v>391</v>
      </c>
      <c r="D366" s="34" t="s">
        <v>817</v>
      </c>
      <c r="E366" s="34" t="s">
        <v>818</v>
      </c>
      <c r="F366" s="46">
        <v>53</v>
      </c>
      <c r="G366" s="46"/>
      <c r="H366" s="14">
        <f>IF(Assessment_Sheet[[#This Row],[NAME ]]="","",ROUND((G366/60*40),0))</f>
        <v>0</v>
      </c>
      <c r="I366" s="15">
        <f t="shared" si="6"/>
        <v>53</v>
      </c>
      <c r="J366" s="16" t="str">
        <f>IF(B366="","",IF(OR(F366="",G366=""),"IC",VLOOKUP(I366,Scale[],2,1)))</f>
        <v>IC</v>
      </c>
    </row>
    <row r="367" spans="1:10" x14ac:dyDescent="0.35">
      <c r="A367" s="34">
        <v>361</v>
      </c>
      <c r="B367" s="35" t="s">
        <v>782</v>
      </c>
      <c r="C367" s="34" t="s">
        <v>392</v>
      </c>
      <c r="D367" s="34" t="s">
        <v>817</v>
      </c>
      <c r="E367" s="34" t="s">
        <v>818</v>
      </c>
      <c r="F367" s="46">
        <v>49</v>
      </c>
      <c r="G367" s="46"/>
      <c r="H367" s="14">
        <f>IF(Assessment_Sheet[[#This Row],[NAME ]]="","",ROUND((G367/60*40),0))</f>
        <v>0</v>
      </c>
      <c r="I367" s="15">
        <f>IFERROR(ROUND((F367+H367),0),"")</f>
        <v>49</v>
      </c>
      <c r="J367" s="16" t="str">
        <f>IF(B367="","",IF(OR(F367="",G367=""),"IC",VLOOKUP(I367,Scale[],2,1)))</f>
        <v>IC</v>
      </c>
    </row>
    <row r="368" spans="1:10" x14ac:dyDescent="0.35">
      <c r="A368" s="34">
        <v>362</v>
      </c>
      <c r="B368" s="35" t="s">
        <v>783</v>
      </c>
      <c r="C368" s="34" t="s">
        <v>393</v>
      </c>
      <c r="D368" s="34" t="s">
        <v>817</v>
      </c>
      <c r="E368" s="34" t="s">
        <v>818</v>
      </c>
      <c r="F368" s="46">
        <v>54</v>
      </c>
      <c r="G368" s="46"/>
      <c r="H368" s="14">
        <f>IF(Assessment_Sheet[[#This Row],[NAME ]]="","",ROUND((G368/60*40),0))</f>
        <v>0</v>
      </c>
      <c r="I368" s="15">
        <f t="shared" si="6"/>
        <v>54</v>
      </c>
      <c r="J368" s="16" t="str">
        <f>IF(B368="","",IF(OR(F368="",G368=""),"IC",VLOOKUP(I368,Scale[],2,1)))</f>
        <v>IC</v>
      </c>
    </row>
    <row r="369" spans="1:10" x14ac:dyDescent="0.35">
      <c r="A369" s="34">
        <v>363</v>
      </c>
      <c r="B369" s="35" t="s">
        <v>784</v>
      </c>
      <c r="C369" s="34" t="s">
        <v>394</v>
      </c>
      <c r="D369" s="34" t="s">
        <v>817</v>
      </c>
      <c r="E369" s="34" t="s">
        <v>818</v>
      </c>
      <c r="F369" s="46"/>
      <c r="G369" s="46"/>
      <c r="H369" s="14">
        <f>IF(Assessment_Sheet[[#This Row],[NAME ]]="","",ROUND((G369/60*40),0))</f>
        <v>0</v>
      </c>
      <c r="I369" s="15">
        <f t="shared" si="6"/>
        <v>0</v>
      </c>
      <c r="J369" s="16" t="str">
        <f>IF(B369="","",IF(OR(F369="",G369=""),"IC",VLOOKUP(I369,Scale[],2,1)))</f>
        <v>IC</v>
      </c>
    </row>
    <row r="370" spans="1:10" x14ac:dyDescent="0.35">
      <c r="A370" s="34">
        <v>364</v>
      </c>
      <c r="B370" s="35" t="s">
        <v>785</v>
      </c>
      <c r="C370" s="34" t="s">
        <v>395</v>
      </c>
      <c r="D370" s="34" t="s">
        <v>817</v>
      </c>
      <c r="E370" s="34" t="s">
        <v>818</v>
      </c>
      <c r="F370" s="46">
        <v>50</v>
      </c>
      <c r="G370" s="46"/>
      <c r="H370" s="14">
        <f>IF(Assessment_Sheet[[#This Row],[NAME ]]="","",ROUND((G370/60*40),0))</f>
        <v>0</v>
      </c>
      <c r="I370" s="15">
        <f t="shared" si="6"/>
        <v>50</v>
      </c>
      <c r="J370" s="16" t="str">
        <f>IF(B370="","",IF(OR(F370="",G370=""),"IC",VLOOKUP(I370,Scale[],2,1)))</f>
        <v>IC</v>
      </c>
    </row>
    <row r="371" spans="1:10" x14ac:dyDescent="0.35">
      <c r="A371" s="34">
        <v>365</v>
      </c>
      <c r="B371" s="35" t="s">
        <v>786</v>
      </c>
      <c r="C371" s="34" t="s">
        <v>396</v>
      </c>
      <c r="D371" s="34" t="s">
        <v>817</v>
      </c>
      <c r="E371" s="34" t="s">
        <v>818</v>
      </c>
      <c r="F371" s="46">
        <v>53</v>
      </c>
      <c r="G371" s="46"/>
      <c r="H371" s="14">
        <f>IF(Assessment_Sheet[[#This Row],[NAME ]]="","",ROUND((G371/60*40),0))</f>
        <v>0</v>
      </c>
      <c r="I371" s="15">
        <f t="shared" si="6"/>
        <v>53</v>
      </c>
      <c r="J371" s="16" t="str">
        <f>IF(B371="","",IF(OR(F371="",G371=""),"IC",VLOOKUP(I371,Scale[],2,1)))</f>
        <v>IC</v>
      </c>
    </row>
    <row r="372" spans="1:10" x14ac:dyDescent="0.35">
      <c r="A372" s="34">
        <v>366</v>
      </c>
      <c r="B372" s="35" t="s">
        <v>787</v>
      </c>
      <c r="C372" s="34" t="s">
        <v>397</v>
      </c>
      <c r="D372" s="34" t="s">
        <v>817</v>
      </c>
      <c r="E372" s="34" t="s">
        <v>818</v>
      </c>
      <c r="F372" s="46">
        <v>51</v>
      </c>
      <c r="G372" s="46"/>
      <c r="H372" s="14">
        <f>IF(Assessment_Sheet[[#This Row],[NAME ]]="","",ROUND((G372/60*40),0))</f>
        <v>0</v>
      </c>
      <c r="I372" s="15">
        <f t="shared" si="6"/>
        <v>51</v>
      </c>
      <c r="J372" s="16" t="str">
        <f>IF(B372="","",IF(OR(F372="",G372=""),"IC",VLOOKUP(I372,Scale[],2,1)))</f>
        <v>IC</v>
      </c>
    </row>
    <row r="373" spans="1:10" x14ac:dyDescent="0.35">
      <c r="A373" s="34">
        <v>367</v>
      </c>
      <c r="B373" s="35" t="s">
        <v>788</v>
      </c>
      <c r="C373" s="34" t="s">
        <v>398</v>
      </c>
      <c r="D373" s="34" t="s">
        <v>817</v>
      </c>
      <c r="E373" s="34" t="s">
        <v>818</v>
      </c>
      <c r="F373" s="46">
        <v>50</v>
      </c>
      <c r="G373" s="46"/>
      <c r="H373" s="14">
        <f>IF(Assessment_Sheet[[#This Row],[NAME ]]="","",ROUND((G373/60*40),0))</f>
        <v>0</v>
      </c>
      <c r="I373" s="15">
        <f t="shared" si="6"/>
        <v>50</v>
      </c>
      <c r="J373" s="16" t="str">
        <f>IF(B373="","",IF(OR(F373="",G373=""),"IC",VLOOKUP(I373,Scale[],2,1)))</f>
        <v>IC</v>
      </c>
    </row>
    <row r="374" spans="1:10" x14ac:dyDescent="0.35">
      <c r="A374" s="34">
        <v>368</v>
      </c>
      <c r="B374" s="35" t="s">
        <v>789</v>
      </c>
      <c r="C374" s="34" t="s">
        <v>399</v>
      </c>
      <c r="D374" s="34" t="s">
        <v>817</v>
      </c>
      <c r="E374" s="34" t="s">
        <v>818</v>
      </c>
      <c r="F374" s="46">
        <v>51</v>
      </c>
      <c r="G374" s="46"/>
      <c r="H374" s="14">
        <f>IF(Assessment_Sheet[[#This Row],[NAME ]]="","",ROUND((G374/60*40),0))</f>
        <v>0</v>
      </c>
      <c r="I374" s="15">
        <f t="shared" si="6"/>
        <v>51</v>
      </c>
      <c r="J374" s="16" t="str">
        <f>IF(B374="","",IF(OR(F374="",G374=""),"IC",VLOOKUP(I374,Scale[],2,1)))</f>
        <v>IC</v>
      </c>
    </row>
    <row r="375" spans="1:10" x14ac:dyDescent="0.35">
      <c r="A375" s="34">
        <v>369</v>
      </c>
      <c r="B375" s="35" t="s">
        <v>790</v>
      </c>
      <c r="C375" s="34" t="s">
        <v>400</v>
      </c>
      <c r="D375" s="34" t="s">
        <v>817</v>
      </c>
      <c r="E375" s="34" t="s">
        <v>818</v>
      </c>
      <c r="F375" s="46">
        <v>52</v>
      </c>
      <c r="G375" s="46"/>
      <c r="H375" s="14">
        <f>IF(Assessment_Sheet[[#This Row],[NAME ]]="","",ROUND((G375/60*40),0))</f>
        <v>0</v>
      </c>
      <c r="I375" s="15">
        <f t="shared" si="6"/>
        <v>52</v>
      </c>
      <c r="J375" s="16" t="str">
        <f>IF(B375="","",IF(OR(F375="",G375=""),"IC",VLOOKUP(I375,Scale[],2,1)))</f>
        <v>IC</v>
      </c>
    </row>
    <row r="376" spans="1:10" x14ac:dyDescent="0.35">
      <c r="A376" s="34">
        <v>370</v>
      </c>
      <c r="B376" s="35" t="s">
        <v>791</v>
      </c>
      <c r="C376" s="34" t="s">
        <v>401</v>
      </c>
      <c r="D376" s="34" t="s">
        <v>817</v>
      </c>
      <c r="E376" s="34" t="s">
        <v>818</v>
      </c>
      <c r="F376" s="46">
        <v>45</v>
      </c>
      <c r="G376" s="46"/>
      <c r="H376" s="14">
        <f>IF(Assessment_Sheet[[#This Row],[NAME ]]="","",ROUND((G376/60*40),0))</f>
        <v>0</v>
      </c>
      <c r="I376" s="15">
        <f t="shared" si="6"/>
        <v>45</v>
      </c>
      <c r="J376" s="16" t="str">
        <f>IF(B376="","",IF(OR(F376="",G376=""),"IC",VLOOKUP(I376,Scale[],2,1)))</f>
        <v>IC</v>
      </c>
    </row>
    <row r="377" spans="1:10" x14ac:dyDescent="0.35">
      <c r="A377" s="34">
        <v>371</v>
      </c>
      <c r="B377" s="35" t="s">
        <v>792</v>
      </c>
      <c r="C377" s="34" t="s">
        <v>402</v>
      </c>
      <c r="D377" s="34" t="s">
        <v>817</v>
      </c>
      <c r="E377" s="34" t="s">
        <v>818</v>
      </c>
      <c r="F377" s="46">
        <v>53</v>
      </c>
      <c r="G377" s="46"/>
      <c r="H377" s="14">
        <f>IF(Assessment_Sheet[[#This Row],[NAME ]]="","",ROUND((G377/60*40),0))</f>
        <v>0</v>
      </c>
      <c r="I377" s="15">
        <f t="shared" si="6"/>
        <v>53</v>
      </c>
      <c r="J377" s="16" t="str">
        <f>IF(B377="","",IF(OR(F377="",G377=""),"IC",VLOOKUP(I377,Scale[],2,1)))</f>
        <v>IC</v>
      </c>
    </row>
    <row r="378" spans="1:10" x14ac:dyDescent="0.35">
      <c r="A378" s="34">
        <v>372</v>
      </c>
      <c r="B378" s="35" t="s">
        <v>793</v>
      </c>
      <c r="C378" s="34" t="s">
        <v>403</v>
      </c>
      <c r="D378" s="34" t="s">
        <v>817</v>
      </c>
      <c r="E378" s="34" t="s">
        <v>818</v>
      </c>
      <c r="F378" s="46">
        <v>46</v>
      </c>
      <c r="G378" s="46"/>
      <c r="H378" s="14">
        <f>IF(Assessment_Sheet[[#This Row],[NAME ]]="","",ROUND((G378/60*40),0))</f>
        <v>0</v>
      </c>
      <c r="I378" s="15">
        <f t="shared" si="6"/>
        <v>46</v>
      </c>
      <c r="J378" s="16" t="str">
        <f>IF(B378="","",IF(OR(F378="",G378=""),"IC",VLOOKUP(I378,Scale[],2,1)))</f>
        <v>IC</v>
      </c>
    </row>
    <row r="379" spans="1:10" x14ac:dyDescent="0.35">
      <c r="A379" s="34">
        <v>373</v>
      </c>
      <c r="B379" s="35" t="s">
        <v>794</v>
      </c>
      <c r="C379" s="34" t="s">
        <v>404</v>
      </c>
      <c r="D379" s="34" t="s">
        <v>817</v>
      </c>
      <c r="E379" s="34" t="s">
        <v>818</v>
      </c>
      <c r="F379" s="46">
        <v>40</v>
      </c>
      <c r="G379" s="46"/>
      <c r="H379" s="14">
        <f>IF(Assessment_Sheet[[#This Row],[NAME ]]="","",ROUND((G379/60*40),0))</f>
        <v>0</v>
      </c>
      <c r="I379" s="15">
        <f t="shared" si="6"/>
        <v>40</v>
      </c>
      <c r="J379" s="16" t="str">
        <f>IF(B379="","",IF(OR(F379="",G379=""),"IC",VLOOKUP(I379,Scale[],2,1)))</f>
        <v>IC</v>
      </c>
    </row>
    <row r="380" spans="1:10" x14ac:dyDescent="0.35">
      <c r="A380" s="34">
        <v>374</v>
      </c>
      <c r="B380" s="35" t="s">
        <v>795</v>
      </c>
      <c r="C380" s="34" t="s">
        <v>405</v>
      </c>
      <c r="D380" s="34" t="s">
        <v>817</v>
      </c>
      <c r="E380" s="34" t="s">
        <v>818</v>
      </c>
      <c r="F380" s="46">
        <v>54</v>
      </c>
      <c r="G380" s="46"/>
      <c r="H380" s="14">
        <f>IF(Assessment_Sheet[[#This Row],[NAME ]]="","",ROUND((G380/60*40),0))</f>
        <v>0</v>
      </c>
      <c r="I380" s="15">
        <f t="shared" si="6"/>
        <v>54</v>
      </c>
      <c r="J380" s="16" t="str">
        <f>IF(B380="","",IF(OR(F380="",G380=""),"IC",VLOOKUP(I380,Scale[],2,1)))</f>
        <v>IC</v>
      </c>
    </row>
    <row r="381" spans="1:10" x14ac:dyDescent="0.35">
      <c r="A381" s="34">
        <v>375</v>
      </c>
      <c r="B381" s="35" t="s">
        <v>796</v>
      </c>
      <c r="C381" s="34" t="s">
        <v>406</v>
      </c>
      <c r="D381" s="34" t="s">
        <v>817</v>
      </c>
      <c r="E381" s="34" t="s">
        <v>818</v>
      </c>
      <c r="F381" s="46">
        <v>53</v>
      </c>
      <c r="G381" s="46"/>
      <c r="H381" s="14">
        <f>IF(Assessment_Sheet[[#This Row],[NAME ]]="","",ROUND((G381/60*40),0))</f>
        <v>0</v>
      </c>
      <c r="I381" s="15">
        <f t="shared" si="6"/>
        <v>53</v>
      </c>
      <c r="J381" s="16" t="str">
        <f>IF(B381="","",IF(OR(F381="",G381=""),"IC",VLOOKUP(I381,Scale[],2,1)))</f>
        <v>IC</v>
      </c>
    </row>
    <row r="382" spans="1:10" x14ac:dyDescent="0.35">
      <c r="A382" s="34">
        <v>376</v>
      </c>
      <c r="B382" s="35" t="s">
        <v>797</v>
      </c>
      <c r="C382" s="34" t="s">
        <v>407</v>
      </c>
      <c r="D382" s="34" t="s">
        <v>817</v>
      </c>
      <c r="E382" s="34" t="s">
        <v>818</v>
      </c>
      <c r="F382" s="46">
        <v>50</v>
      </c>
      <c r="G382" s="46"/>
      <c r="H382" s="14">
        <f>IF(Assessment_Sheet[[#This Row],[NAME ]]="","",ROUND((G382/60*40),0))</f>
        <v>0</v>
      </c>
      <c r="I382" s="15">
        <f t="shared" si="6"/>
        <v>50</v>
      </c>
      <c r="J382" s="16" t="str">
        <f>IF(B382="","",IF(OR(F382="",G382=""),"IC",VLOOKUP(I382,Scale[],2,1)))</f>
        <v>IC</v>
      </c>
    </row>
    <row r="383" spans="1:10" x14ac:dyDescent="0.35">
      <c r="A383" s="34">
        <v>377</v>
      </c>
      <c r="B383" s="35" t="s">
        <v>798</v>
      </c>
      <c r="C383" s="34" t="s">
        <v>408</v>
      </c>
      <c r="D383" s="34" t="s">
        <v>817</v>
      </c>
      <c r="E383" s="34" t="s">
        <v>818</v>
      </c>
      <c r="F383" s="46">
        <v>52</v>
      </c>
      <c r="G383" s="46"/>
      <c r="H383" s="14">
        <f>IF(Assessment_Sheet[[#This Row],[NAME ]]="","",ROUND((G383/60*40),0))</f>
        <v>0</v>
      </c>
      <c r="I383" s="15">
        <f t="shared" si="6"/>
        <v>52</v>
      </c>
      <c r="J383" s="16" t="str">
        <f>IF(B383="","",IF(OR(F383="",G383=""),"IC",VLOOKUP(I383,Scale[],2,1)))</f>
        <v>IC</v>
      </c>
    </row>
    <row r="384" spans="1:10" x14ac:dyDescent="0.35">
      <c r="A384" s="34">
        <v>378</v>
      </c>
      <c r="B384" s="35" t="s">
        <v>799</v>
      </c>
      <c r="C384" s="34" t="s">
        <v>409</v>
      </c>
      <c r="D384" s="34" t="s">
        <v>817</v>
      </c>
      <c r="E384" s="34" t="s">
        <v>818</v>
      </c>
      <c r="F384" s="46">
        <v>51</v>
      </c>
      <c r="G384" s="46"/>
      <c r="H384" s="14">
        <f>IF(Assessment_Sheet[[#This Row],[NAME ]]="","",ROUND((G384/60*40),0))</f>
        <v>0</v>
      </c>
      <c r="I384" s="15">
        <f t="shared" si="6"/>
        <v>51</v>
      </c>
      <c r="J384" s="16" t="str">
        <f>IF(B384="","",IF(OR(F384="",G384=""),"IC",VLOOKUP(I384,Scale[],2,1)))</f>
        <v>IC</v>
      </c>
    </row>
    <row r="385" spans="1:10" x14ac:dyDescent="0.35">
      <c r="A385" s="34">
        <v>379</v>
      </c>
      <c r="B385" s="35" t="s">
        <v>800</v>
      </c>
      <c r="C385" s="34" t="s">
        <v>410</v>
      </c>
      <c r="D385" s="34" t="s">
        <v>817</v>
      </c>
      <c r="E385" s="34" t="s">
        <v>818</v>
      </c>
      <c r="F385" s="46">
        <v>55</v>
      </c>
      <c r="G385" s="46"/>
      <c r="H385" s="14">
        <f>IF(Assessment_Sheet[[#This Row],[NAME ]]="","",ROUND((G385/60*40),0))</f>
        <v>0</v>
      </c>
      <c r="I385" s="15">
        <f t="shared" si="6"/>
        <v>55</v>
      </c>
      <c r="J385" s="16" t="str">
        <f>IF(B385="","",IF(OR(F385="",G385=""),"IC",VLOOKUP(I385,Scale[],2,1)))</f>
        <v>IC</v>
      </c>
    </row>
    <row r="386" spans="1:10" x14ac:dyDescent="0.35">
      <c r="A386" s="34">
        <v>380</v>
      </c>
      <c r="B386" s="35" t="s">
        <v>801</v>
      </c>
      <c r="C386" s="34" t="s">
        <v>411</v>
      </c>
      <c r="D386" s="34" t="s">
        <v>817</v>
      </c>
      <c r="E386" s="34" t="s">
        <v>818</v>
      </c>
      <c r="F386" s="46">
        <v>53</v>
      </c>
      <c r="G386" s="46"/>
      <c r="H386" s="14">
        <f>IF(Assessment_Sheet[[#This Row],[NAME ]]="","",ROUND((G386/60*40),0))</f>
        <v>0</v>
      </c>
      <c r="I386" s="15">
        <f t="shared" si="6"/>
        <v>53</v>
      </c>
      <c r="J386" s="16" t="str">
        <f>IF(B386="","",IF(OR(F386="",G386=""),"IC",VLOOKUP(I386,Scale[],2,1)))</f>
        <v>IC</v>
      </c>
    </row>
    <row r="387" spans="1:10" x14ac:dyDescent="0.35">
      <c r="A387" s="34">
        <v>381</v>
      </c>
      <c r="B387" s="35" t="s">
        <v>802</v>
      </c>
      <c r="C387" s="34" t="s">
        <v>412</v>
      </c>
      <c r="D387" s="34" t="s">
        <v>817</v>
      </c>
      <c r="E387" s="34" t="s">
        <v>818</v>
      </c>
      <c r="F387" s="46">
        <v>52</v>
      </c>
      <c r="G387" s="46"/>
      <c r="H387" s="14">
        <f>IF(Assessment_Sheet[[#This Row],[NAME ]]="","",ROUND((G387/60*40),0))</f>
        <v>0</v>
      </c>
      <c r="I387" s="15">
        <f t="shared" si="6"/>
        <v>52</v>
      </c>
      <c r="J387" s="16" t="str">
        <f>IF(B387="","",IF(OR(F387="",G387=""),"IC",VLOOKUP(I387,Scale[],2,1)))</f>
        <v>IC</v>
      </c>
    </row>
    <row r="388" spans="1:10" x14ac:dyDescent="0.35">
      <c r="A388" s="34">
        <v>382</v>
      </c>
      <c r="B388" s="35" t="s">
        <v>803</v>
      </c>
      <c r="C388" s="34" t="s">
        <v>413</v>
      </c>
      <c r="D388" s="34" t="s">
        <v>817</v>
      </c>
      <c r="E388" s="34" t="s">
        <v>818</v>
      </c>
      <c r="F388" s="46"/>
      <c r="G388" s="46"/>
      <c r="H388" s="14">
        <f>IF(Assessment_Sheet[[#This Row],[NAME ]]="","",ROUND((G388/60*40),0))</f>
        <v>0</v>
      </c>
      <c r="I388" s="15">
        <f t="shared" si="6"/>
        <v>0</v>
      </c>
      <c r="J388" s="16" t="str">
        <f>IF(B388="","",IF(OR(F388="",G388=""),"IC",VLOOKUP(I388,Scale[],2,1)))</f>
        <v>IC</v>
      </c>
    </row>
    <row r="389" spans="1:10" x14ac:dyDescent="0.35">
      <c r="A389" s="34">
        <v>383</v>
      </c>
      <c r="B389" s="35" t="s">
        <v>804</v>
      </c>
      <c r="C389" s="34" t="s">
        <v>414</v>
      </c>
      <c r="D389" s="34" t="s">
        <v>817</v>
      </c>
      <c r="E389" s="34" t="s">
        <v>818</v>
      </c>
      <c r="F389" s="46">
        <v>54</v>
      </c>
      <c r="G389" s="46"/>
      <c r="H389" s="14">
        <f>IF(Assessment_Sheet[[#This Row],[NAME ]]="","",ROUND((G389/60*40),0))</f>
        <v>0</v>
      </c>
      <c r="I389" s="15">
        <f t="shared" si="6"/>
        <v>54</v>
      </c>
      <c r="J389" s="16" t="str">
        <f>IF(B389="","",IF(OR(F389="",G389=""),"IC",VLOOKUP(I389,Scale[],2,1)))</f>
        <v>IC</v>
      </c>
    </row>
    <row r="390" spans="1:10" x14ac:dyDescent="0.35">
      <c r="A390" s="34">
        <v>384</v>
      </c>
      <c r="B390" s="35" t="s">
        <v>805</v>
      </c>
      <c r="C390" s="34" t="s">
        <v>415</v>
      </c>
      <c r="D390" s="34" t="s">
        <v>817</v>
      </c>
      <c r="E390" s="34" t="s">
        <v>818</v>
      </c>
      <c r="F390" s="46">
        <v>51</v>
      </c>
      <c r="G390" s="46"/>
      <c r="H390" s="14">
        <f>IF(Assessment_Sheet[[#This Row],[NAME ]]="","",ROUND((G390/60*40),0))</f>
        <v>0</v>
      </c>
      <c r="I390" s="15">
        <f t="shared" si="6"/>
        <v>51</v>
      </c>
      <c r="J390" s="16" t="str">
        <f>IF(B390="","",IF(OR(F390="",G390=""),"IC",VLOOKUP(I390,Scale[],2,1)))</f>
        <v>IC</v>
      </c>
    </row>
    <row r="391" spans="1:10" x14ac:dyDescent="0.35">
      <c r="A391" s="34">
        <v>385</v>
      </c>
      <c r="B391" s="35" t="s">
        <v>806</v>
      </c>
      <c r="C391" s="34" t="s">
        <v>416</v>
      </c>
      <c r="D391" s="34" t="s">
        <v>817</v>
      </c>
      <c r="E391" s="34" t="s">
        <v>818</v>
      </c>
      <c r="F391" s="46">
        <v>56</v>
      </c>
      <c r="G391" s="46"/>
      <c r="H391" s="14">
        <f>IF(Assessment_Sheet[[#This Row],[NAME ]]="","",ROUND((G391/60*40),0))</f>
        <v>0</v>
      </c>
      <c r="I391" s="15">
        <f t="shared" si="6"/>
        <v>56</v>
      </c>
      <c r="J391" s="16" t="str">
        <f>IF(B391="","",IF(OR(F391="",G391=""),"IC",VLOOKUP(I391,Scale[],2,1)))</f>
        <v>IC</v>
      </c>
    </row>
    <row r="392" spans="1:10" x14ac:dyDescent="0.35">
      <c r="A392" s="34">
        <v>386</v>
      </c>
      <c r="B392" s="35" t="s">
        <v>807</v>
      </c>
      <c r="C392" s="34" t="s">
        <v>417</v>
      </c>
      <c r="D392" s="34" t="s">
        <v>817</v>
      </c>
      <c r="E392" s="34" t="s">
        <v>818</v>
      </c>
      <c r="F392" s="46">
        <v>56</v>
      </c>
      <c r="G392" s="46"/>
      <c r="H392" s="14">
        <f>IF(Assessment_Sheet[[#This Row],[NAME ]]="","",ROUND((G392/60*40),0))</f>
        <v>0</v>
      </c>
      <c r="I392" s="15">
        <f t="shared" ref="I392:I455" si="7">IFERROR(ROUND((F392+H392),0),"")</f>
        <v>56</v>
      </c>
      <c r="J392" s="16" t="str">
        <f>IF(B392="","",IF(OR(F392="",G392=""),"IC",VLOOKUP(I392,Scale[],2,1)))</f>
        <v>IC</v>
      </c>
    </row>
    <row r="393" spans="1:10" x14ac:dyDescent="0.35">
      <c r="A393" s="34">
        <v>387</v>
      </c>
      <c r="B393" s="35" t="s">
        <v>808</v>
      </c>
      <c r="C393" s="34" t="s">
        <v>418</v>
      </c>
      <c r="D393" s="34" t="s">
        <v>817</v>
      </c>
      <c r="E393" s="34" t="s">
        <v>818</v>
      </c>
      <c r="F393" s="46">
        <v>56</v>
      </c>
      <c r="G393" s="46"/>
      <c r="H393" s="14">
        <f>IF(Assessment_Sheet[[#This Row],[NAME ]]="","",ROUND((G393/60*40),0))</f>
        <v>0</v>
      </c>
      <c r="I393" s="15">
        <f t="shared" si="7"/>
        <v>56</v>
      </c>
      <c r="J393" s="16" t="str">
        <f>IF(B393="","",IF(OR(F393="",G393=""),"IC",VLOOKUP(I393,Scale[],2,1)))</f>
        <v>IC</v>
      </c>
    </row>
    <row r="394" spans="1:10" x14ac:dyDescent="0.35">
      <c r="A394" s="34">
        <v>388</v>
      </c>
      <c r="B394" s="35" t="s">
        <v>809</v>
      </c>
      <c r="C394" s="34" t="s">
        <v>419</v>
      </c>
      <c r="D394" s="34" t="s">
        <v>817</v>
      </c>
      <c r="E394" s="34" t="s">
        <v>818</v>
      </c>
      <c r="F394" s="46">
        <v>52</v>
      </c>
      <c r="G394" s="46"/>
      <c r="H394" s="14">
        <f>IF(Assessment_Sheet[[#This Row],[NAME ]]="","",ROUND((G394/60*40),0))</f>
        <v>0</v>
      </c>
      <c r="I394" s="15">
        <f t="shared" si="7"/>
        <v>52</v>
      </c>
      <c r="J394" s="16" t="str">
        <f>IF(B394="","",IF(OR(F394="",G394=""),"IC",VLOOKUP(I394,Scale[],2,1)))</f>
        <v>IC</v>
      </c>
    </row>
    <row r="395" spans="1:10" x14ac:dyDescent="0.35">
      <c r="A395" s="34">
        <v>389</v>
      </c>
      <c r="B395" s="35" t="s">
        <v>810</v>
      </c>
      <c r="C395" s="34" t="s">
        <v>420</v>
      </c>
      <c r="D395" s="34" t="s">
        <v>817</v>
      </c>
      <c r="E395" s="34" t="s">
        <v>818</v>
      </c>
      <c r="F395" s="46"/>
      <c r="G395" s="46"/>
      <c r="H395" s="14">
        <f>IF(Assessment_Sheet[[#This Row],[NAME ]]="","",ROUND((G395/60*40),0))</f>
        <v>0</v>
      </c>
      <c r="I395" s="15">
        <f t="shared" si="7"/>
        <v>0</v>
      </c>
      <c r="J395" s="16" t="str">
        <f>IF(B395="","",IF(OR(F395="",G395=""),"IC",VLOOKUP(I395,Scale[],2,1)))</f>
        <v>IC</v>
      </c>
    </row>
    <row r="396" spans="1:10" x14ac:dyDescent="0.35">
      <c r="A396" s="34">
        <v>390</v>
      </c>
      <c r="B396" s="35" t="s">
        <v>811</v>
      </c>
      <c r="C396" s="34" t="s">
        <v>421</v>
      </c>
      <c r="D396" s="34" t="s">
        <v>817</v>
      </c>
      <c r="E396" s="34" t="s">
        <v>818</v>
      </c>
      <c r="F396" s="46">
        <v>48</v>
      </c>
      <c r="G396" s="46"/>
      <c r="H396" s="14">
        <f>IF(Assessment_Sheet[[#This Row],[NAME ]]="","",ROUND((G396/60*40),0))</f>
        <v>0</v>
      </c>
      <c r="I396" s="15">
        <f t="shared" si="7"/>
        <v>48</v>
      </c>
      <c r="J396" s="16" t="str">
        <f>IF(B396="","",IF(OR(F396="",G396=""),"IC",VLOOKUP(I396,Scale[],2,1)))</f>
        <v>IC</v>
      </c>
    </row>
    <row r="397" spans="1:10" x14ac:dyDescent="0.35">
      <c r="A397" s="34">
        <v>391</v>
      </c>
      <c r="B397" s="35" t="s">
        <v>812</v>
      </c>
      <c r="C397" s="34">
        <v>2350226</v>
      </c>
      <c r="D397" s="34" t="s">
        <v>817</v>
      </c>
      <c r="E397" s="34" t="s">
        <v>818</v>
      </c>
      <c r="F397" s="46">
        <v>54</v>
      </c>
      <c r="G397" s="46"/>
      <c r="H397" s="14">
        <f>IF(Assessment_Sheet[[#This Row],[NAME ]]="","",ROUND((G397/60*40),0))</f>
        <v>0</v>
      </c>
      <c r="I397" s="15">
        <f t="shared" si="7"/>
        <v>54</v>
      </c>
      <c r="J397" s="16" t="str">
        <f>IF(B397="","",IF(OR(F397="",G397=""),"IC",VLOOKUP(I397,Scale[],2,1)))</f>
        <v>IC</v>
      </c>
    </row>
    <row r="398" spans="1:10" x14ac:dyDescent="0.35">
      <c r="A398" s="34">
        <v>392</v>
      </c>
      <c r="B398" s="35" t="s">
        <v>813</v>
      </c>
      <c r="C398" s="34" t="s">
        <v>422</v>
      </c>
      <c r="D398" s="34" t="s">
        <v>817</v>
      </c>
      <c r="E398" s="34" t="s">
        <v>818</v>
      </c>
      <c r="F398" s="46"/>
      <c r="G398" s="46"/>
      <c r="H398" s="14">
        <f>IF(Assessment_Sheet[[#This Row],[NAME ]]="","",ROUND((G398/60*40),0))</f>
        <v>0</v>
      </c>
      <c r="I398" s="15">
        <f t="shared" si="7"/>
        <v>0</v>
      </c>
      <c r="J398" s="16" t="str">
        <f>IF(B398="","",IF(OR(F398="",G398=""),"IC",VLOOKUP(I398,Scale[],2,1)))</f>
        <v>IC</v>
      </c>
    </row>
    <row r="399" spans="1:10" x14ac:dyDescent="0.35">
      <c r="A399" s="34">
        <v>393</v>
      </c>
      <c r="B399" s="35" t="s">
        <v>815</v>
      </c>
      <c r="C399" s="34" t="s">
        <v>814</v>
      </c>
      <c r="D399" s="34" t="s">
        <v>817</v>
      </c>
      <c r="E399" s="34" t="s">
        <v>818</v>
      </c>
      <c r="F399" s="46">
        <v>53</v>
      </c>
      <c r="G399" s="46"/>
      <c r="H399" s="14">
        <f>IF(Assessment_Sheet[[#This Row],[NAME ]]="","",ROUND((G399/60*40),0))</f>
        <v>0</v>
      </c>
      <c r="I399" s="15">
        <f t="shared" si="7"/>
        <v>53</v>
      </c>
      <c r="J399" s="16" t="str">
        <f>IF(B399="","",IF(OR(F399="",G399=""),"IC",VLOOKUP(I399,Scale[],2,1)))</f>
        <v>IC</v>
      </c>
    </row>
    <row r="400" spans="1:10" x14ac:dyDescent="0.35">
      <c r="A400" s="34"/>
      <c r="B400" s="35"/>
      <c r="C400" s="34"/>
      <c r="D400" s="34"/>
      <c r="E400" s="34"/>
      <c r="F400" s="46"/>
      <c r="G400" s="46"/>
      <c r="H400" s="14" t="str">
        <f>IF(Assessment_Sheet[[#This Row],[NAME ]]="","",ROUND((G400/60*40),0))</f>
        <v/>
      </c>
      <c r="I400" s="15" t="str">
        <f t="shared" si="7"/>
        <v/>
      </c>
      <c r="J400" s="16" t="str">
        <f>IF(B400="","",IF(OR(F400="",G400=""),"IC",VLOOKUP(I400,Scale[],2,1)))</f>
        <v/>
      </c>
    </row>
    <row r="401" spans="1:10" x14ac:dyDescent="0.35">
      <c r="A401" s="34"/>
      <c r="B401" s="35"/>
      <c r="C401" s="34"/>
      <c r="D401" s="34"/>
      <c r="E401" s="34"/>
      <c r="F401" s="46"/>
      <c r="G401" s="46"/>
      <c r="H401" s="14" t="str">
        <f>IF(Assessment_Sheet[[#This Row],[NAME ]]="","",ROUND((G401/60*40),0))</f>
        <v/>
      </c>
      <c r="I401" s="15" t="str">
        <f t="shared" si="7"/>
        <v/>
      </c>
      <c r="J401" s="16" t="str">
        <f>IF(B401="","",IF(OR(F401="",G401=""),"IC",VLOOKUP(I401,Scale[],2,1)))</f>
        <v/>
      </c>
    </row>
    <row r="402" spans="1:10" x14ac:dyDescent="0.35">
      <c r="A402" s="34"/>
      <c r="B402" s="35"/>
      <c r="C402" s="34"/>
      <c r="D402" s="34"/>
      <c r="E402" s="34"/>
      <c r="F402" s="46"/>
      <c r="G402" s="46"/>
      <c r="H402" s="14" t="str">
        <f>IF(Assessment_Sheet[[#This Row],[NAME ]]="","",ROUND((G402/60*40),0))</f>
        <v/>
      </c>
      <c r="I402" s="15" t="str">
        <f t="shared" si="7"/>
        <v/>
      </c>
      <c r="J402" s="16" t="str">
        <f>IF(B402="","",IF(OR(F402="",G402=""),"IC",VLOOKUP(I402,Scale[],2,1)))</f>
        <v/>
      </c>
    </row>
    <row r="403" spans="1:10" x14ac:dyDescent="0.35">
      <c r="A403" s="34"/>
      <c r="B403" s="35"/>
      <c r="C403" s="34"/>
      <c r="D403" s="34"/>
      <c r="E403" s="34"/>
      <c r="F403" s="46"/>
      <c r="G403" s="46"/>
      <c r="H403" s="14" t="str">
        <f>IF(Assessment_Sheet[[#This Row],[NAME ]]="","",ROUND((G403/60*40),0))</f>
        <v/>
      </c>
      <c r="I403" s="15" t="str">
        <f t="shared" si="7"/>
        <v/>
      </c>
      <c r="J403" s="16" t="str">
        <f>IF(B403="","",IF(OR(F403="",G403=""),"IC",VLOOKUP(I403,Scale[],2,1)))</f>
        <v/>
      </c>
    </row>
    <row r="404" spans="1:10" x14ac:dyDescent="0.35">
      <c r="A404" s="34"/>
      <c r="B404" s="35"/>
      <c r="C404" s="34"/>
      <c r="D404" s="34"/>
      <c r="E404" s="34"/>
      <c r="F404" s="46"/>
      <c r="G404" s="46"/>
      <c r="H404" s="14" t="str">
        <f>IF(Assessment_Sheet[[#This Row],[NAME ]]="","",ROUND((G404/60*40),0))</f>
        <v/>
      </c>
      <c r="I404" s="15" t="str">
        <f t="shared" si="7"/>
        <v/>
      </c>
      <c r="J404" s="16" t="str">
        <f>IF(B404="","",IF(OR(F404="",G404=""),"IC",VLOOKUP(I404,Scale[],2,1)))</f>
        <v/>
      </c>
    </row>
    <row r="405" spans="1:10" x14ac:dyDescent="0.35">
      <c r="A405" s="34"/>
      <c r="B405" s="35"/>
      <c r="C405" s="34"/>
      <c r="D405" s="34"/>
      <c r="E405" s="34"/>
      <c r="F405" s="46"/>
      <c r="G405" s="46"/>
      <c r="H405" s="14" t="str">
        <f>IF(Assessment_Sheet[[#This Row],[NAME ]]="","",ROUND((G405/60*40),0))</f>
        <v/>
      </c>
      <c r="I405" s="15" t="str">
        <f t="shared" si="7"/>
        <v/>
      </c>
      <c r="J405" s="16" t="str">
        <f>IF(B405="","",IF(OR(F405="",G405=""),"IC",VLOOKUP(I405,Scale[],2,1)))</f>
        <v/>
      </c>
    </row>
    <row r="406" spans="1:10" x14ac:dyDescent="0.35">
      <c r="A406" s="34"/>
      <c r="B406" s="35"/>
      <c r="C406" s="34"/>
      <c r="D406" s="34"/>
      <c r="E406" s="34"/>
      <c r="F406" s="46"/>
      <c r="G406" s="46"/>
      <c r="H406" s="14" t="str">
        <f>IF(Assessment_Sheet[[#This Row],[NAME ]]="","",ROUND((G406/60*40),0))</f>
        <v/>
      </c>
      <c r="I406" s="15" t="str">
        <f t="shared" si="7"/>
        <v/>
      </c>
      <c r="J406" s="16" t="str">
        <f>IF(B406="","",IF(OR(F406="",G406=""),"IC",VLOOKUP(I406,Scale[],2,1)))</f>
        <v/>
      </c>
    </row>
    <row r="407" spans="1:10" x14ac:dyDescent="0.35">
      <c r="A407" s="34"/>
      <c r="B407" s="35"/>
      <c r="C407" s="34"/>
      <c r="D407" s="34"/>
      <c r="E407" s="34"/>
      <c r="F407" s="46"/>
      <c r="G407" s="46"/>
      <c r="H407" s="14" t="str">
        <f>IF(Assessment_Sheet[[#This Row],[NAME ]]="","",ROUND((G407/60*40),0))</f>
        <v/>
      </c>
      <c r="I407" s="15" t="str">
        <f t="shared" si="7"/>
        <v/>
      </c>
      <c r="J407" s="16" t="str">
        <f>IF(B407="","",IF(OR(F407="",G407=""),"IC",VLOOKUP(I407,Scale[],2,1)))</f>
        <v/>
      </c>
    </row>
    <row r="408" spans="1:10" x14ac:dyDescent="0.35">
      <c r="A408" s="34"/>
      <c r="B408" s="35"/>
      <c r="C408" s="34"/>
      <c r="D408" s="34"/>
      <c r="E408" s="34"/>
      <c r="F408" s="46"/>
      <c r="G408" s="46"/>
      <c r="H408" s="14" t="str">
        <f>IF(Assessment_Sheet[[#This Row],[NAME ]]="","",ROUND((G408/60*40),0))</f>
        <v/>
      </c>
      <c r="I408" s="15" t="str">
        <f t="shared" si="7"/>
        <v/>
      </c>
      <c r="J408" s="16" t="str">
        <f>IF(B408="","",IF(OR(F408="",G408=""),"IC",VLOOKUP(I408,Scale[],2,1)))</f>
        <v/>
      </c>
    </row>
    <row r="409" spans="1:10" x14ac:dyDescent="0.35">
      <c r="A409" s="34"/>
      <c r="B409" s="35"/>
      <c r="C409" s="34"/>
      <c r="D409" s="34"/>
      <c r="E409" s="34"/>
      <c r="F409" s="46"/>
      <c r="G409" s="46"/>
      <c r="H409" s="14" t="str">
        <f>IF(Assessment_Sheet[[#This Row],[NAME ]]="","",ROUND((G409/60*40),0))</f>
        <v/>
      </c>
      <c r="I409" s="15" t="str">
        <f t="shared" si="7"/>
        <v/>
      </c>
      <c r="J409" s="16" t="str">
        <f>IF(B409="","",IF(OR(F409="",G409=""),"IC",VLOOKUP(I409,Scale[],2,1)))</f>
        <v/>
      </c>
    </row>
    <row r="410" spans="1:10" x14ac:dyDescent="0.35">
      <c r="A410" s="34"/>
      <c r="B410" s="35"/>
      <c r="C410" s="34"/>
      <c r="D410" s="34"/>
      <c r="E410" s="34"/>
      <c r="F410" s="46"/>
      <c r="G410" s="46"/>
      <c r="H410" s="14" t="str">
        <f>IF(Assessment_Sheet[[#This Row],[NAME ]]="","",ROUND((G410/60*40),0))</f>
        <v/>
      </c>
      <c r="I410" s="15" t="str">
        <f t="shared" si="7"/>
        <v/>
      </c>
      <c r="J410" s="16" t="str">
        <f>IF(B410="","",IF(OR(F410="",G410=""),"IC",VLOOKUP(I410,Scale[],2,1)))</f>
        <v/>
      </c>
    </row>
    <row r="411" spans="1:10" x14ac:dyDescent="0.35">
      <c r="A411" s="34"/>
      <c r="B411" s="35"/>
      <c r="C411" s="34"/>
      <c r="D411" s="34"/>
      <c r="E411" s="34"/>
      <c r="F411" s="46"/>
      <c r="G411" s="46"/>
      <c r="H411" s="14" t="str">
        <f>IF(Assessment_Sheet[[#This Row],[NAME ]]="","",ROUND((G411/60*40),0))</f>
        <v/>
      </c>
      <c r="I411" s="15" t="str">
        <f t="shared" si="7"/>
        <v/>
      </c>
      <c r="J411" s="16" t="str">
        <f>IF(B411="","",IF(OR(F411="",G411=""),"IC",VLOOKUP(I411,Scale[],2,1)))</f>
        <v/>
      </c>
    </row>
    <row r="412" spans="1:10" x14ac:dyDescent="0.35">
      <c r="A412" s="34"/>
      <c r="B412" s="35"/>
      <c r="C412" s="34"/>
      <c r="D412" s="34"/>
      <c r="E412" s="34"/>
      <c r="F412" s="46"/>
      <c r="G412" s="46"/>
      <c r="H412" s="14" t="str">
        <f>IF(Assessment_Sheet[[#This Row],[NAME ]]="","",ROUND((G412/60*40),0))</f>
        <v/>
      </c>
      <c r="I412" s="15" t="str">
        <f t="shared" si="7"/>
        <v/>
      </c>
      <c r="J412" s="16" t="str">
        <f>IF(B412="","",IF(OR(F412="",G412=""),"IC",VLOOKUP(I412,Scale[],2,1)))</f>
        <v/>
      </c>
    </row>
    <row r="413" spans="1:10" x14ac:dyDescent="0.35">
      <c r="A413" s="34"/>
      <c r="B413" s="35"/>
      <c r="C413" s="34"/>
      <c r="D413" s="34"/>
      <c r="E413" s="34"/>
      <c r="F413" s="46"/>
      <c r="G413" s="46"/>
      <c r="H413" s="14" t="str">
        <f>IF(Assessment_Sheet[[#This Row],[NAME ]]="","",ROUND((G413/60*40),0))</f>
        <v/>
      </c>
      <c r="I413" s="15" t="str">
        <f t="shared" si="7"/>
        <v/>
      </c>
      <c r="J413" s="16" t="str">
        <f>IF(B413="","",IF(OR(F413="",G413=""),"IC",VLOOKUP(I413,Scale[],2,1)))</f>
        <v/>
      </c>
    </row>
    <row r="414" spans="1:10" x14ac:dyDescent="0.35">
      <c r="A414" s="34"/>
      <c r="B414" s="35"/>
      <c r="C414" s="34"/>
      <c r="D414" s="34"/>
      <c r="E414" s="34"/>
      <c r="F414" s="46"/>
      <c r="G414" s="46"/>
      <c r="H414" s="14" t="str">
        <f>IF(Assessment_Sheet[[#This Row],[NAME ]]="","",ROUND((G414/60*40),0))</f>
        <v/>
      </c>
      <c r="I414" s="15" t="str">
        <f t="shared" si="7"/>
        <v/>
      </c>
      <c r="J414" s="16" t="str">
        <f>IF(B414="","",IF(OR(F414="",G414=""),"IC",VLOOKUP(I414,Scale[],2,1)))</f>
        <v/>
      </c>
    </row>
    <row r="415" spans="1:10" x14ac:dyDescent="0.35">
      <c r="A415" s="34"/>
      <c r="B415" s="35"/>
      <c r="C415" s="34"/>
      <c r="D415" s="34"/>
      <c r="E415" s="34"/>
      <c r="F415" s="46"/>
      <c r="G415" s="46"/>
      <c r="H415" s="14" t="str">
        <f>IF(Assessment_Sheet[[#This Row],[NAME ]]="","",ROUND((G415/60*40),0))</f>
        <v/>
      </c>
      <c r="I415" s="15" t="str">
        <f t="shared" si="7"/>
        <v/>
      </c>
      <c r="J415" s="16" t="str">
        <f>IF(B415="","",IF(OR(F415="",G415=""),"IC",VLOOKUP(I415,Scale[],2,1)))</f>
        <v/>
      </c>
    </row>
    <row r="416" spans="1:10" x14ac:dyDescent="0.35">
      <c r="A416" s="34"/>
      <c r="B416" s="35"/>
      <c r="C416" s="34"/>
      <c r="D416" s="34"/>
      <c r="E416" s="34"/>
      <c r="F416" s="46"/>
      <c r="G416" s="46"/>
      <c r="H416" s="14" t="str">
        <f>IF(Assessment_Sheet[[#This Row],[NAME ]]="","",ROUND((G416/60*40),0))</f>
        <v/>
      </c>
      <c r="I416" s="15" t="str">
        <f t="shared" si="7"/>
        <v/>
      </c>
      <c r="J416" s="16" t="str">
        <f>IF(B416="","",IF(OR(F416="",G416=""),"IC",VLOOKUP(I416,Scale[],2,1)))</f>
        <v/>
      </c>
    </row>
    <row r="417" spans="1:10" x14ac:dyDescent="0.35">
      <c r="A417" s="34"/>
      <c r="B417" s="35"/>
      <c r="C417" s="34"/>
      <c r="D417" s="34"/>
      <c r="E417" s="34"/>
      <c r="F417" s="46"/>
      <c r="G417" s="46"/>
      <c r="H417" s="14" t="str">
        <f>IF(Assessment_Sheet[[#This Row],[NAME ]]="","",ROUND((G417/60*40),0))</f>
        <v/>
      </c>
      <c r="I417" s="15" t="str">
        <f t="shared" si="7"/>
        <v/>
      </c>
      <c r="J417" s="16" t="str">
        <f>IF(B417="","",IF(OR(F417="",G417=""),"IC",VLOOKUP(I417,Scale[],2,1)))</f>
        <v/>
      </c>
    </row>
    <row r="418" spans="1:10" x14ac:dyDescent="0.35">
      <c r="A418" s="34"/>
      <c r="B418" s="35"/>
      <c r="C418" s="34"/>
      <c r="D418" s="34"/>
      <c r="E418" s="34"/>
      <c r="F418" s="46"/>
      <c r="G418" s="46"/>
      <c r="H418" s="14" t="str">
        <f>IF(Assessment_Sheet[[#This Row],[NAME ]]="","",ROUND((G418/60*40),0))</f>
        <v/>
      </c>
      <c r="I418" s="15" t="str">
        <f t="shared" si="7"/>
        <v/>
      </c>
      <c r="J418" s="16" t="str">
        <f>IF(B418="","",IF(OR(F418="",G418=""),"IC",VLOOKUP(I418,Scale[],2,1)))</f>
        <v/>
      </c>
    </row>
    <row r="419" spans="1:10" x14ac:dyDescent="0.35">
      <c r="A419" s="34"/>
      <c r="B419" s="35"/>
      <c r="C419" s="34"/>
      <c r="D419" s="34"/>
      <c r="E419" s="34"/>
      <c r="F419" s="46"/>
      <c r="G419" s="46"/>
      <c r="H419" s="14" t="str">
        <f>IF(Assessment_Sheet[[#This Row],[NAME ]]="","",ROUND((G419/60*40),0))</f>
        <v/>
      </c>
      <c r="I419" s="15" t="str">
        <f t="shared" si="7"/>
        <v/>
      </c>
      <c r="J419" s="16" t="str">
        <f>IF(B419="","",IF(OR(F419="",G419=""),"IC",VLOOKUP(I419,Scale[],2,1)))</f>
        <v/>
      </c>
    </row>
    <row r="420" spans="1:10" x14ac:dyDescent="0.35">
      <c r="A420" s="34"/>
      <c r="B420" s="35"/>
      <c r="C420" s="34"/>
      <c r="D420" s="34"/>
      <c r="E420" s="34"/>
      <c r="F420" s="46"/>
      <c r="G420" s="46"/>
      <c r="H420" s="14" t="str">
        <f>IF(Assessment_Sheet[[#This Row],[NAME ]]="","",ROUND((G420/60*40),0))</f>
        <v/>
      </c>
      <c r="I420" s="15" t="str">
        <f t="shared" si="7"/>
        <v/>
      </c>
      <c r="J420" s="16" t="str">
        <f>IF(B420="","",IF(OR(F420="",G420=""),"IC",VLOOKUP(I420,Scale[],2,1)))</f>
        <v/>
      </c>
    </row>
    <row r="421" spans="1:10" x14ac:dyDescent="0.35">
      <c r="A421" s="34"/>
      <c r="B421" s="35"/>
      <c r="C421" s="34"/>
      <c r="D421" s="34"/>
      <c r="E421" s="34"/>
      <c r="F421" s="46"/>
      <c r="G421" s="46"/>
      <c r="H421" s="14" t="str">
        <f>IF(Assessment_Sheet[[#This Row],[NAME ]]="","",ROUND((G421/60*40),0))</f>
        <v/>
      </c>
      <c r="I421" s="15" t="str">
        <f t="shared" si="7"/>
        <v/>
      </c>
      <c r="J421" s="16" t="str">
        <f>IF(B421="","",IF(OR(F421="",G421=""),"IC",VLOOKUP(I421,Scale[],2,1)))</f>
        <v/>
      </c>
    </row>
    <row r="422" spans="1:10" x14ac:dyDescent="0.35">
      <c r="A422" s="34"/>
      <c r="B422" s="35"/>
      <c r="C422" s="34"/>
      <c r="D422" s="34"/>
      <c r="E422" s="34"/>
      <c r="F422" s="46"/>
      <c r="G422" s="46"/>
      <c r="H422" s="14" t="str">
        <f>IF(Assessment_Sheet[[#This Row],[NAME ]]="","",ROUND((G422/60*40),0))</f>
        <v/>
      </c>
      <c r="I422" s="15" t="str">
        <f t="shared" si="7"/>
        <v/>
      </c>
      <c r="J422" s="16" t="str">
        <f>IF(B422="","",IF(OR(F422="",G422=""),"IC",VLOOKUP(I422,Scale[],2,1)))</f>
        <v/>
      </c>
    </row>
    <row r="423" spans="1:10" x14ac:dyDescent="0.35">
      <c r="A423" s="34"/>
      <c r="B423" s="35"/>
      <c r="C423" s="34"/>
      <c r="D423" s="34"/>
      <c r="E423" s="34"/>
      <c r="F423" s="46"/>
      <c r="G423" s="46"/>
      <c r="H423" s="14" t="str">
        <f>IF(Assessment_Sheet[[#This Row],[NAME ]]="","",ROUND((G423/60*40),0))</f>
        <v/>
      </c>
      <c r="I423" s="15" t="str">
        <f t="shared" si="7"/>
        <v/>
      </c>
      <c r="J423" s="16" t="str">
        <f>IF(B423="","",IF(OR(F423="",G423=""),"IC",VLOOKUP(I423,Scale[],2,1)))</f>
        <v/>
      </c>
    </row>
    <row r="424" spans="1:10" x14ac:dyDescent="0.35">
      <c r="A424" s="34"/>
      <c r="B424" s="35"/>
      <c r="C424" s="34"/>
      <c r="D424" s="34"/>
      <c r="E424" s="34"/>
      <c r="F424" s="46"/>
      <c r="G424" s="46"/>
      <c r="H424" s="14" t="str">
        <f>IF(Assessment_Sheet[[#This Row],[NAME ]]="","",ROUND((G424/60*40),0))</f>
        <v/>
      </c>
      <c r="I424" s="15" t="str">
        <f t="shared" si="7"/>
        <v/>
      </c>
      <c r="J424" s="16" t="str">
        <f>IF(B424="","",IF(OR(F424="",G424=""),"IC",VLOOKUP(I424,Scale[],2,1)))</f>
        <v/>
      </c>
    </row>
    <row r="425" spans="1:10" x14ac:dyDescent="0.35">
      <c r="A425" s="34"/>
      <c r="B425" s="35"/>
      <c r="C425" s="34"/>
      <c r="D425" s="34"/>
      <c r="E425" s="34"/>
      <c r="F425" s="46"/>
      <c r="G425" s="46"/>
      <c r="H425" s="14" t="str">
        <f>IF(Assessment_Sheet[[#This Row],[NAME ]]="","",ROUND((G425/60*40),0))</f>
        <v/>
      </c>
      <c r="I425" s="15" t="str">
        <f t="shared" si="7"/>
        <v/>
      </c>
      <c r="J425" s="16" t="str">
        <f>IF(B425="","",IF(OR(F425="",G425=""),"IC",VLOOKUP(I425,Scale[],2,1)))</f>
        <v/>
      </c>
    </row>
    <row r="426" spans="1:10" x14ac:dyDescent="0.35">
      <c r="A426" s="34"/>
      <c r="B426" s="35"/>
      <c r="C426" s="34"/>
      <c r="D426" s="34"/>
      <c r="E426" s="34"/>
      <c r="F426" s="46"/>
      <c r="G426" s="46"/>
      <c r="H426" s="14" t="str">
        <f>IF(Assessment_Sheet[[#This Row],[NAME ]]="","",ROUND((G426/60*40),0))</f>
        <v/>
      </c>
      <c r="I426" s="15" t="str">
        <f t="shared" si="7"/>
        <v/>
      </c>
      <c r="J426" s="16" t="str">
        <f>IF(B426="","",IF(OR(F426="",G426=""),"IC",VLOOKUP(I426,Scale[],2,1)))</f>
        <v/>
      </c>
    </row>
    <row r="427" spans="1:10" x14ac:dyDescent="0.35">
      <c r="A427" s="34"/>
      <c r="B427" s="35"/>
      <c r="C427" s="34"/>
      <c r="D427" s="34"/>
      <c r="E427" s="34"/>
      <c r="F427" s="46"/>
      <c r="G427" s="46"/>
      <c r="H427" s="14" t="str">
        <f>IF(Assessment_Sheet[[#This Row],[NAME ]]="","",ROUND((G427/60*40),0))</f>
        <v/>
      </c>
      <c r="I427" s="15" t="str">
        <f t="shared" si="7"/>
        <v/>
      </c>
      <c r="J427" s="16" t="str">
        <f>IF(B427="","",IF(OR(F427="",G427=""),"IC",VLOOKUP(I427,Scale[],2,1)))</f>
        <v/>
      </c>
    </row>
    <row r="428" spans="1:10" x14ac:dyDescent="0.35">
      <c r="A428" s="34"/>
      <c r="B428" s="35"/>
      <c r="C428" s="34"/>
      <c r="D428" s="34"/>
      <c r="E428" s="34"/>
      <c r="F428" s="46"/>
      <c r="G428" s="46"/>
      <c r="H428" s="14" t="str">
        <f>IF(Assessment_Sheet[[#This Row],[NAME ]]="","",ROUND((G428/60*40),0))</f>
        <v/>
      </c>
      <c r="I428" s="15" t="str">
        <f t="shared" si="7"/>
        <v/>
      </c>
      <c r="J428" s="16" t="str">
        <f>IF(B428="","",IF(OR(F428="",G428=""),"IC",VLOOKUP(I428,Scale[],2,1)))</f>
        <v/>
      </c>
    </row>
    <row r="429" spans="1:10" x14ac:dyDescent="0.35">
      <c r="A429" s="34"/>
      <c r="B429" s="35"/>
      <c r="C429" s="34"/>
      <c r="D429" s="34"/>
      <c r="E429" s="34"/>
      <c r="F429" s="46"/>
      <c r="G429" s="46"/>
      <c r="H429" s="14" t="str">
        <f>IF(Assessment_Sheet[[#This Row],[NAME ]]="","",ROUND((G429/60*40),0))</f>
        <v/>
      </c>
      <c r="I429" s="15" t="str">
        <f t="shared" si="7"/>
        <v/>
      </c>
      <c r="J429" s="16" t="str">
        <f>IF(B429="","",IF(OR(F429="",G429=""),"IC",VLOOKUP(I429,Scale[],2,1)))</f>
        <v/>
      </c>
    </row>
    <row r="430" spans="1:10" x14ac:dyDescent="0.35">
      <c r="A430" s="34"/>
      <c r="B430" s="35"/>
      <c r="C430" s="34"/>
      <c r="D430" s="34"/>
      <c r="E430" s="34"/>
      <c r="F430" s="46"/>
      <c r="G430" s="46"/>
      <c r="H430" s="14" t="str">
        <f>IF(Assessment_Sheet[[#This Row],[NAME ]]="","",ROUND((G430/60*40),0))</f>
        <v/>
      </c>
      <c r="I430" s="15" t="str">
        <f t="shared" si="7"/>
        <v/>
      </c>
      <c r="J430" s="16" t="str">
        <f>IF(B430="","",IF(OR(F430="",G430=""),"IC",VLOOKUP(I430,Scale[],2,1)))</f>
        <v/>
      </c>
    </row>
    <row r="431" spans="1:10" x14ac:dyDescent="0.35">
      <c r="A431" s="34"/>
      <c r="B431" s="35"/>
      <c r="C431" s="34"/>
      <c r="D431" s="34"/>
      <c r="E431" s="34"/>
      <c r="F431" s="46"/>
      <c r="G431" s="46"/>
      <c r="H431" s="14" t="str">
        <f>IF(Assessment_Sheet[[#This Row],[NAME ]]="","",ROUND((G431/60*40),0))</f>
        <v/>
      </c>
      <c r="I431" s="15" t="str">
        <f t="shared" si="7"/>
        <v/>
      </c>
      <c r="J431" s="16" t="str">
        <f>IF(B431="","",IF(OR(F431="",G431=""),"IC",VLOOKUP(I431,Scale[],2,1)))</f>
        <v/>
      </c>
    </row>
    <row r="432" spans="1:10" x14ac:dyDescent="0.35">
      <c r="A432" s="34"/>
      <c r="B432" s="35"/>
      <c r="C432" s="34"/>
      <c r="D432" s="34"/>
      <c r="E432" s="34"/>
      <c r="F432" s="46"/>
      <c r="G432" s="46"/>
      <c r="H432" s="14" t="str">
        <f>IF(Assessment_Sheet[[#This Row],[NAME ]]="","",ROUND((G432/60*40),0))</f>
        <v/>
      </c>
      <c r="I432" s="15" t="str">
        <f t="shared" si="7"/>
        <v/>
      </c>
      <c r="J432" s="16" t="str">
        <f>IF(B432="","",IF(OR(F432="",G432=""),"IC",VLOOKUP(I432,Scale[],2,1)))</f>
        <v/>
      </c>
    </row>
    <row r="433" spans="1:10" x14ac:dyDescent="0.35">
      <c r="A433" s="34"/>
      <c r="B433" s="35"/>
      <c r="C433" s="34"/>
      <c r="D433" s="34"/>
      <c r="E433" s="34"/>
      <c r="F433" s="46"/>
      <c r="G433" s="46"/>
      <c r="H433" s="14" t="str">
        <f>IF(Assessment_Sheet[[#This Row],[NAME ]]="","",ROUND((G433/60*40),0))</f>
        <v/>
      </c>
      <c r="I433" s="15" t="str">
        <f t="shared" si="7"/>
        <v/>
      </c>
      <c r="J433" s="16" t="str">
        <f>IF(B433="","",IF(OR(F433="",G433=""),"IC",VLOOKUP(I433,Scale[],2,1)))</f>
        <v/>
      </c>
    </row>
    <row r="434" spans="1:10" x14ac:dyDescent="0.35">
      <c r="A434" s="34"/>
      <c r="B434" s="35"/>
      <c r="C434" s="34"/>
      <c r="D434" s="34"/>
      <c r="E434" s="34"/>
      <c r="F434" s="46"/>
      <c r="G434" s="46"/>
      <c r="H434" s="14" t="str">
        <f>IF(Assessment_Sheet[[#This Row],[NAME ]]="","",ROUND((G434/60*40),0))</f>
        <v/>
      </c>
      <c r="I434" s="15" t="str">
        <f t="shared" si="7"/>
        <v/>
      </c>
      <c r="J434" s="16" t="str">
        <f>IF(B434="","",IF(OR(F434="",G434=""),"IC",VLOOKUP(I434,Scale[],2,1)))</f>
        <v/>
      </c>
    </row>
    <row r="435" spans="1:10" x14ac:dyDescent="0.35">
      <c r="A435" s="34"/>
      <c r="B435" s="35"/>
      <c r="C435" s="34"/>
      <c r="D435" s="34"/>
      <c r="E435" s="34"/>
      <c r="F435" s="46"/>
      <c r="G435" s="46"/>
      <c r="H435" s="14" t="str">
        <f>IF(Assessment_Sheet[[#This Row],[NAME ]]="","",ROUND((G435/60*40),0))</f>
        <v/>
      </c>
      <c r="I435" s="15" t="str">
        <f t="shared" si="7"/>
        <v/>
      </c>
      <c r="J435" s="16" t="str">
        <f>IF(B435="","",IF(OR(F435="",G435=""),"IC",VLOOKUP(I435,Scale[],2,1)))</f>
        <v/>
      </c>
    </row>
    <row r="436" spans="1:10" x14ac:dyDescent="0.35">
      <c r="A436" s="34"/>
      <c r="B436" s="35"/>
      <c r="C436" s="34"/>
      <c r="D436" s="34"/>
      <c r="E436" s="34"/>
      <c r="F436" s="46"/>
      <c r="G436" s="46"/>
      <c r="H436" s="14" t="str">
        <f>IF(Assessment_Sheet[[#This Row],[NAME ]]="","",ROUND((G436/60*40),0))</f>
        <v/>
      </c>
      <c r="I436" s="15" t="str">
        <f t="shared" si="7"/>
        <v/>
      </c>
      <c r="J436" s="16" t="str">
        <f>IF(B436="","",IF(OR(F436="",G436=""),"IC",VLOOKUP(I436,Scale[],2,1)))</f>
        <v/>
      </c>
    </row>
    <row r="437" spans="1:10" x14ac:dyDescent="0.35">
      <c r="A437" s="34"/>
      <c r="B437" s="35"/>
      <c r="C437" s="34"/>
      <c r="D437" s="34"/>
      <c r="E437" s="34"/>
      <c r="F437" s="46"/>
      <c r="G437" s="46"/>
      <c r="H437" s="14" t="str">
        <f>IF(Assessment_Sheet[[#This Row],[NAME ]]="","",ROUND((G437/60*40),0))</f>
        <v/>
      </c>
      <c r="I437" s="15" t="str">
        <f t="shared" si="7"/>
        <v/>
      </c>
      <c r="J437" s="16" t="str">
        <f>IF(B437="","",IF(OR(F437="",G437=""),"IC",VLOOKUP(I437,Scale[],2,1)))</f>
        <v/>
      </c>
    </row>
    <row r="438" spans="1:10" x14ac:dyDescent="0.35">
      <c r="A438" s="34"/>
      <c r="B438" s="35"/>
      <c r="C438" s="34"/>
      <c r="D438" s="34"/>
      <c r="E438" s="34"/>
      <c r="F438" s="46"/>
      <c r="G438" s="46"/>
      <c r="H438" s="14" t="str">
        <f>IF(Assessment_Sheet[[#This Row],[NAME ]]="","",ROUND((G438/60*40),0))</f>
        <v/>
      </c>
      <c r="I438" s="15" t="str">
        <f t="shared" si="7"/>
        <v/>
      </c>
      <c r="J438" s="16" t="str">
        <f>IF(B438="","",IF(OR(F438="",G438=""),"IC",VLOOKUP(I438,Scale[],2,1)))</f>
        <v/>
      </c>
    </row>
    <row r="439" spans="1:10" x14ac:dyDescent="0.35">
      <c r="A439" s="34"/>
      <c r="B439" s="35"/>
      <c r="C439" s="34"/>
      <c r="D439" s="34"/>
      <c r="E439" s="34"/>
      <c r="F439" s="46"/>
      <c r="G439" s="46"/>
      <c r="H439" s="14" t="str">
        <f>IF(Assessment_Sheet[[#This Row],[NAME ]]="","",ROUND((G439/60*40),0))</f>
        <v/>
      </c>
      <c r="I439" s="15" t="str">
        <f t="shared" si="7"/>
        <v/>
      </c>
      <c r="J439" s="16" t="str">
        <f>IF(B439="","",IF(OR(F439="",G439=""),"IC",VLOOKUP(I439,Scale[],2,1)))</f>
        <v/>
      </c>
    </row>
    <row r="440" spans="1:10" x14ac:dyDescent="0.35">
      <c r="A440" s="34"/>
      <c r="B440" s="35"/>
      <c r="C440" s="34"/>
      <c r="D440" s="34"/>
      <c r="E440" s="34"/>
      <c r="F440" s="46"/>
      <c r="G440" s="46"/>
      <c r="H440" s="14" t="str">
        <f>IF(Assessment_Sheet[[#This Row],[NAME ]]="","",ROUND((G440/60*40),0))</f>
        <v/>
      </c>
      <c r="I440" s="15" t="str">
        <f t="shared" si="7"/>
        <v/>
      </c>
      <c r="J440" s="16" t="str">
        <f>IF(B440="","",IF(OR(F440="",G440=""),"IC",VLOOKUP(I440,Scale[],2,1)))</f>
        <v/>
      </c>
    </row>
    <row r="441" spans="1:10" x14ac:dyDescent="0.35">
      <c r="A441" s="34"/>
      <c r="B441" s="35"/>
      <c r="C441" s="34"/>
      <c r="D441" s="34"/>
      <c r="E441" s="34"/>
      <c r="F441" s="46"/>
      <c r="G441" s="46"/>
      <c r="H441" s="14" t="str">
        <f>IF(Assessment_Sheet[[#This Row],[NAME ]]="","",ROUND((G441/60*40),0))</f>
        <v/>
      </c>
      <c r="I441" s="15" t="str">
        <f t="shared" si="7"/>
        <v/>
      </c>
      <c r="J441" s="16" t="str">
        <f>IF(B441="","",IF(OR(F441="",G441=""),"IC",VLOOKUP(I441,Scale[],2,1)))</f>
        <v/>
      </c>
    </row>
    <row r="442" spans="1:10" x14ac:dyDescent="0.35">
      <c r="A442" s="34"/>
      <c r="B442" s="35"/>
      <c r="C442" s="34"/>
      <c r="D442" s="34"/>
      <c r="E442" s="34"/>
      <c r="F442" s="46"/>
      <c r="G442" s="46"/>
      <c r="H442" s="14" t="str">
        <f>IF(Assessment_Sheet[[#This Row],[NAME ]]="","",ROUND((G442/60*40),0))</f>
        <v/>
      </c>
      <c r="I442" s="15" t="str">
        <f t="shared" si="7"/>
        <v/>
      </c>
      <c r="J442" s="16" t="str">
        <f>IF(B442="","",IF(OR(F442="",G442=""),"IC",VLOOKUP(I442,Scale[],2,1)))</f>
        <v/>
      </c>
    </row>
    <row r="443" spans="1:10" x14ac:dyDescent="0.35">
      <c r="A443" s="34"/>
      <c r="B443" s="35"/>
      <c r="C443" s="34"/>
      <c r="D443" s="34"/>
      <c r="E443" s="34"/>
      <c r="F443" s="46"/>
      <c r="G443" s="46"/>
      <c r="H443" s="14" t="str">
        <f>IF(Assessment_Sheet[[#This Row],[NAME ]]="","",ROUND((G443/60*40),0))</f>
        <v/>
      </c>
      <c r="I443" s="15" t="str">
        <f t="shared" si="7"/>
        <v/>
      </c>
      <c r="J443" s="16" t="str">
        <f>IF(B443="","",IF(OR(F443="",G443=""),"IC",VLOOKUP(I443,Scale[],2,1)))</f>
        <v/>
      </c>
    </row>
    <row r="444" spans="1:10" x14ac:dyDescent="0.35">
      <c r="A444" s="34"/>
      <c r="B444" s="35"/>
      <c r="C444" s="34"/>
      <c r="D444" s="34"/>
      <c r="E444" s="34"/>
      <c r="F444" s="46"/>
      <c r="G444" s="46"/>
      <c r="H444" s="14" t="str">
        <f>IF(Assessment_Sheet[[#This Row],[NAME ]]="","",ROUND((G444/60*40),0))</f>
        <v/>
      </c>
      <c r="I444" s="15" t="str">
        <f t="shared" si="7"/>
        <v/>
      </c>
      <c r="J444" s="16" t="str">
        <f>IF(B444="","",IF(OR(F444="",G444=""),"IC",VLOOKUP(I444,Scale[],2,1)))</f>
        <v/>
      </c>
    </row>
    <row r="445" spans="1:10" x14ac:dyDescent="0.35">
      <c r="A445" s="34"/>
      <c r="B445" s="35"/>
      <c r="C445" s="34"/>
      <c r="D445" s="34"/>
      <c r="E445" s="34"/>
      <c r="F445" s="46"/>
      <c r="G445" s="46"/>
      <c r="H445" s="14" t="str">
        <f>IF(Assessment_Sheet[[#This Row],[NAME ]]="","",ROUND((G445/60*40),0))</f>
        <v/>
      </c>
      <c r="I445" s="15" t="str">
        <f t="shared" si="7"/>
        <v/>
      </c>
      <c r="J445" s="16" t="str">
        <f>IF(B445="","",IF(OR(F445="",G445=""),"IC",VLOOKUP(I445,Scale[],2,1)))</f>
        <v/>
      </c>
    </row>
    <row r="446" spans="1:10" x14ac:dyDescent="0.35">
      <c r="A446" s="34"/>
      <c r="B446" s="35"/>
      <c r="C446" s="34"/>
      <c r="D446" s="34"/>
      <c r="E446" s="34"/>
      <c r="F446" s="46"/>
      <c r="G446" s="46"/>
      <c r="H446" s="14" t="str">
        <f>IF(Assessment_Sheet[[#This Row],[NAME ]]="","",ROUND((G446/60*40),0))</f>
        <v/>
      </c>
      <c r="I446" s="15" t="str">
        <f t="shared" si="7"/>
        <v/>
      </c>
      <c r="J446" s="16" t="str">
        <f>IF(B446="","",IF(OR(F446="",G446=""),"IC",VLOOKUP(I446,Scale[],2,1)))</f>
        <v/>
      </c>
    </row>
    <row r="447" spans="1:10" x14ac:dyDescent="0.35">
      <c r="A447" s="34"/>
      <c r="B447" s="35"/>
      <c r="C447" s="34"/>
      <c r="D447" s="34"/>
      <c r="E447" s="34"/>
      <c r="F447" s="46"/>
      <c r="G447" s="46"/>
      <c r="H447" s="14" t="str">
        <f>IF(Assessment_Sheet[[#This Row],[NAME ]]="","",ROUND((G447/60*40),0))</f>
        <v/>
      </c>
      <c r="I447" s="15" t="str">
        <f t="shared" si="7"/>
        <v/>
      </c>
      <c r="J447" s="16" t="str">
        <f>IF(B447="","",IF(OR(F447="",G447=""),"IC",VLOOKUP(I447,Scale[],2,1)))</f>
        <v/>
      </c>
    </row>
    <row r="448" spans="1:10" x14ac:dyDescent="0.35">
      <c r="A448" s="34"/>
      <c r="B448" s="35"/>
      <c r="C448" s="34"/>
      <c r="D448" s="34"/>
      <c r="E448" s="34"/>
      <c r="F448" s="46"/>
      <c r="G448" s="46"/>
      <c r="H448" s="14" t="str">
        <f>IF(Assessment_Sheet[[#This Row],[NAME ]]="","",ROUND((G448/60*40),0))</f>
        <v/>
      </c>
      <c r="I448" s="15" t="str">
        <f t="shared" si="7"/>
        <v/>
      </c>
      <c r="J448" s="16" t="str">
        <f>IF(B448="","",IF(OR(F448="",G448=""),"IC",VLOOKUP(I448,Scale[],2,1)))</f>
        <v/>
      </c>
    </row>
    <row r="449" spans="1:10" x14ac:dyDescent="0.35">
      <c r="A449" s="34"/>
      <c r="B449" s="35"/>
      <c r="C449" s="34"/>
      <c r="D449" s="34"/>
      <c r="E449" s="34"/>
      <c r="F449" s="46"/>
      <c r="G449" s="46"/>
      <c r="H449" s="14" t="str">
        <f>IF(Assessment_Sheet[[#This Row],[NAME ]]="","",ROUND((G449/60*40),0))</f>
        <v/>
      </c>
      <c r="I449" s="15" t="str">
        <f t="shared" si="7"/>
        <v/>
      </c>
      <c r="J449" s="16" t="str">
        <f>IF(B449="","",IF(OR(F449="",G449=""),"IC",VLOOKUP(I449,Scale[],2,1)))</f>
        <v/>
      </c>
    </row>
    <row r="450" spans="1:10" x14ac:dyDescent="0.35">
      <c r="A450" s="34"/>
      <c r="B450" s="35"/>
      <c r="C450" s="34"/>
      <c r="D450" s="34"/>
      <c r="E450" s="34"/>
      <c r="F450" s="46"/>
      <c r="G450" s="46"/>
      <c r="H450" s="14" t="str">
        <f>IF(Assessment_Sheet[[#This Row],[NAME ]]="","",ROUND((G450/60*40),0))</f>
        <v/>
      </c>
      <c r="I450" s="15" t="str">
        <f t="shared" si="7"/>
        <v/>
      </c>
      <c r="J450" s="16" t="str">
        <f>IF(B450="","",IF(OR(F450="",G450=""),"IC",VLOOKUP(I450,Scale[],2,1)))</f>
        <v/>
      </c>
    </row>
    <row r="451" spans="1:10" x14ac:dyDescent="0.35">
      <c r="A451" s="34"/>
      <c r="B451" s="35"/>
      <c r="C451" s="34"/>
      <c r="D451" s="34"/>
      <c r="E451" s="34"/>
      <c r="F451" s="46"/>
      <c r="G451" s="46"/>
      <c r="H451" s="14" t="str">
        <f>IF(Assessment_Sheet[[#This Row],[NAME ]]="","",ROUND((G451/60*40),0))</f>
        <v/>
      </c>
      <c r="I451" s="15" t="str">
        <f t="shared" si="7"/>
        <v/>
      </c>
      <c r="J451" s="16" t="str">
        <f>IF(B451="","",IF(OR(F451="",G451=""),"IC",VLOOKUP(I451,Scale[],2,1)))</f>
        <v/>
      </c>
    </row>
    <row r="452" spans="1:10" x14ac:dyDescent="0.35">
      <c r="A452" s="34"/>
      <c r="B452" s="35"/>
      <c r="C452" s="34"/>
      <c r="D452" s="34"/>
      <c r="E452" s="34"/>
      <c r="F452" s="46"/>
      <c r="G452" s="46"/>
      <c r="H452" s="14" t="str">
        <f>IF(Assessment_Sheet[[#This Row],[NAME ]]="","",ROUND((G452/60*40),0))</f>
        <v/>
      </c>
      <c r="I452" s="15" t="str">
        <f t="shared" si="7"/>
        <v/>
      </c>
      <c r="J452" s="16" t="str">
        <f>IF(B452="","",IF(OR(F452="",G452=""),"IC",VLOOKUP(I452,Scale[],2,1)))</f>
        <v/>
      </c>
    </row>
    <row r="453" spans="1:10" x14ac:dyDescent="0.35">
      <c r="A453" s="34"/>
      <c r="B453" s="35"/>
      <c r="C453" s="34"/>
      <c r="D453" s="34"/>
      <c r="E453" s="34"/>
      <c r="F453" s="46"/>
      <c r="G453" s="46"/>
      <c r="H453" s="14" t="str">
        <f>IF(Assessment_Sheet[[#This Row],[NAME ]]="","",ROUND((G453/60*40),0))</f>
        <v/>
      </c>
      <c r="I453" s="15" t="str">
        <f t="shared" si="7"/>
        <v/>
      </c>
      <c r="J453" s="16" t="str">
        <f>IF(B453="","",IF(OR(F453="",G453=""),"IC",VLOOKUP(I453,Scale[],2,1)))</f>
        <v/>
      </c>
    </row>
    <row r="454" spans="1:10" x14ac:dyDescent="0.35">
      <c r="A454" s="34"/>
      <c r="B454" s="35"/>
      <c r="C454" s="34"/>
      <c r="D454" s="34"/>
      <c r="E454" s="34"/>
      <c r="F454" s="46"/>
      <c r="G454" s="46"/>
      <c r="H454" s="14" t="str">
        <f>IF(Assessment_Sheet[[#This Row],[NAME ]]="","",ROUND((G454/60*40),0))</f>
        <v/>
      </c>
      <c r="I454" s="15" t="str">
        <f t="shared" si="7"/>
        <v/>
      </c>
      <c r="J454" s="16" t="str">
        <f>IF(B454="","",IF(OR(F454="",G454=""),"IC",VLOOKUP(I454,Scale[],2,1)))</f>
        <v/>
      </c>
    </row>
    <row r="455" spans="1:10" x14ac:dyDescent="0.35">
      <c r="A455" s="34"/>
      <c r="B455" s="35"/>
      <c r="C455" s="34"/>
      <c r="D455" s="34"/>
      <c r="E455" s="34"/>
      <c r="F455" s="46"/>
      <c r="G455" s="46"/>
      <c r="H455" s="14" t="str">
        <f>IF(Assessment_Sheet[[#This Row],[NAME ]]="","",ROUND((G455/60*40),0))</f>
        <v/>
      </c>
      <c r="I455" s="15" t="str">
        <f t="shared" si="7"/>
        <v/>
      </c>
      <c r="J455" s="16" t="str">
        <f>IF(B455="","",IF(OR(F455="",G455=""),"IC",VLOOKUP(I455,Scale[],2,1)))</f>
        <v/>
      </c>
    </row>
    <row r="456" spans="1:10" x14ac:dyDescent="0.35">
      <c r="A456" s="34"/>
      <c r="B456" s="35"/>
      <c r="C456" s="34"/>
      <c r="D456" s="34"/>
      <c r="E456" s="34"/>
      <c r="F456" s="46"/>
      <c r="G456" s="46"/>
      <c r="H456" s="14" t="str">
        <f>IF(Assessment_Sheet[[#This Row],[NAME ]]="","",ROUND((G456/60*40),0))</f>
        <v/>
      </c>
      <c r="I456" s="15" t="str">
        <f t="shared" ref="I456:I519" si="8">IFERROR(ROUND((F456+H456),0),"")</f>
        <v/>
      </c>
      <c r="J456" s="16" t="str">
        <f>IF(B456="","",IF(OR(F456="",G456=""),"IC",VLOOKUP(I456,Scale[],2,1)))</f>
        <v/>
      </c>
    </row>
    <row r="457" spans="1:10" x14ac:dyDescent="0.35">
      <c r="A457" s="34"/>
      <c r="B457" s="35"/>
      <c r="C457" s="34"/>
      <c r="D457" s="34"/>
      <c r="E457" s="34"/>
      <c r="F457" s="46"/>
      <c r="G457" s="46"/>
      <c r="H457" s="14" t="str">
        <f>IF(Assessment_Sheet[[#This Row],[NAME ]]="","",ROUND((G457/60*40),0))</f>
        <v/>
      </c>
      <c r="I457" s="15" t="str">
        <f t="shared" si="8"/>
        <v/>
      </c>
      <c r="J457" s="16" t="str">
        <f>IF(B457="","",IF(OR(F457="",G457=""),"IC",VLOOKUP(I457,Scale[],2,1)))</f>
        <v/>
      </c>
    </row>
    <row r="458" spans="1:10" x14ac:dyDescent="0.35">
      <c r="A458" s="34"/>
      <c r="B458" s="35"/>
      <c r="C458" s="34"/>
      <c r="D458" s="34"/>
      <c r="E458" s="34"/>
      <c r="F458" s="46"/>
      <c r="G458" s="46"/>
      <c r="H458" s="14" t="str">
        <f>IF(Assessment_Sheet[[#This Row],[NAME ]]="","",ROUND((G458/60*40),0))</f>
        <v/>
      </c>
      <c r="I458" s="15" t="str">
        <f t="shared" si="8"/>
        <v/>
      </c>
      <c r="J458" s="16" t="str">
        <f>IF(B458="","",IF(OR(F458="",G458=""),"IC",VLOOKUP(I458,Scale[],2,1)))</f>
        <v/>
      </c>
    </row>
    <row r="459" spans="1:10" x14ac:dyDescent="0.35">
      <c r="A459" s="34"/>
      <c r="B459" s="35"/>
      <c r="C459" s="34"/>
      <c r="D459" s="34"/>
      <c r="E459" s="34"/>
      <c r="F459" s="46"/>
      <c r="G459" s="46"/>
      <c r="H459" s="14" t="str">
        <f>IF(Assessment_Sheet[[#This Row],[NAME ]]="","",ROUND((G459/60*40),0))</f>
        <v/>
      </c>
      <c r="I459" s="15" t="str">
        <f t="shared" si="8"/>
        <v/>
      </c>
      <c r="J459" s="16" t="str">
        <f>IF(B459="","",IF(OR(F459="",G459=""),"IC",VLOOKUP(I459,Scale[],2,1)))</f>
        <v/>
      </c>
    </row>
    <row r="460" spans="1:10" x14ac:dyDescent="0.35">
      <c r="A460" s="34"/>
      <c r="B460" s="35"/>
      <c r="C460" s="34"/>
      <c r="D460" s="34"/>
      <c r="E460" s="34"/>
      <c r="F460" s="46"/>
      <c r="G460" s="46"/>
      <c r="H460" s="14" t="str">
        <f>IF(Assessment_Sheet[[#This Row],[NAME ]]="","",ROUND((G460/60*40),0))</f>
        <v/>
      </c>
      <c r="I460" s="15" t="str">
        <f t="shared" si="8"/>
        <v/>
      </c>
      <c r="J460" s="16" t="str">
        <f>IF(B460="","",IF(OR(F460="",G460=""),"IC",VLOOKUP(I460,Scale[],2,1)))</f>
        <v/>
      </c>
    </row>
    <row r="461" spans="1:10" x14ac:dyDescent="0.35">
      <c r="A461" s="34"/>
      <c r="B461" s="35"/>
      <c r="C461" s="34"/>
      <c r="D461" s="34"/>
      <c r="E461" s="34"/>
      <c r="F461" s="46"/>
      <c r="G461" s="46"/>
      <c r="H461" s="14" t="str">
        <f>IF(Assessment_Sheet[[#This Row],[NAME ]]="","",ROUND((G461/60*40),0))</f>
        <v/>
      </c>
      <c r="I461" s="15" t="str">
        <f t="shared" si="8"/>
        <v/>
      </c>
      <c r="J461" s="16" t="str">
        <f>IF(B461="","",IF(OR(F461="",G461=""),"IC",VLOOKUP(I461,Scale[],2,1)))</f>
        <v/>
      </c>
    </row>
    <row r="462" spans="1:10" x14ac:dyDescent="0.35">
      <c r="A462" s="34"/>
      <c r="B462" s="35"/>
      <c r="C462" s="34"/>
      <c r="D462" s="34"/>
      <c r="E462" s="34"/>
      <c r="F462" s="46"/>
      <c r="G462" s="46"/>
      <c r="H462" s="14" t="str">
        <f>IF(Assessment_Sheet[[#This Row],[NAME ]]="","",ROUND((G462/60*40),0))</f>
        <v/>
      </c>
      <c r="I462" s="15" t="str">
        <f t="shared" si="8"/>
        <v/>
      </c>
      <c r="J462" s="16" t="str">
        <f>IF(B462="","",IF(OR(F462="",G462=""),"IC",VLOOKUP(I462,Scale[],2,1)))</f>
        <v/>
      </c>
    </row>
    <row r="463" spans="1:10" x14ac:dyDescent="0.35">
      <c r="A463" s="34"/>
      <c r="B463" s="35"/>
      <c r="C463" s="34"/>
      <c r="D463" s="34"/>
      <c r="E463" s="34"/>
      <c r="F463" s="46"/>
      <c r="G463" s="46"/>
      <c r="H463" s="14" t="str">
        <f>IF(Assessment_Sheet[[#This Row],[NAME ]]="","",ROUND((G463/60*40),0))</f>
        <v/>
      </c>
      <c r="I463" s="15" t="str">
        <f t="shared" si="8"/>
        <v/>
      </c>
      <c r="J463" s="16" t="str">
        <f>IF(B463="","",IF(OR(F463="",G463=""),"IC",VLOOKUP(I463,Scale[],2,1)))</f>
        <v/>
      </c>
    </row>
    <row r="464" spans="1:10" x14ac:dyDescent="0.35">
      <c r="A464" s="34"/>
      <c r="B464" s="35"/>
      <c r="C464" s="34"/>
      <c r="D464" s="34"/>
      <c r="E464" s="34"/>
      <c r="F464" s="46"/>
      <c r="G464" s="46"/>
      <c r="H464" s="14" t="str">
        <f>IF(Assessment_Sheet[[#This Row],[NAME ]]="","",ROUND((G464/60*40),0))</f>
        <v/>
      </c>
      <c r="I464" s="15" t="str">
        <f t="shared" si="8"/>
        <v/>
      </c>
      <c r="J464" s="16" t="str">
        <f>IF(B464="","",IF(OR(F464="",G464=""),"IC",VLOOKUP(I464,Scale[],2,1)))</f>
        <v/>
      </c>
    </row>
    <row r="465" spans="1:10" x14ac:dyDescent="0.35">
      <c r="A465" s="34"/>
      <c r="B465" s="35"/>
      <c r="C465" s="34"/>
      <c r="D465" s="34"/>
      <c r="E465" s="34"/>
      <c r="F465" s="46"/>
      <c r="G465" s="46"/>
      <c r="H465" s="14" t="str">
        <f>IF(Assessment_Sheet[[#This Row],[NAME ]]="","",ROUND((G465/60*40),0))</f>
        <v/>
      </c>
      <c r="I465" s="15" t="str">
        <f t="shared" si="8"/>
        <v/>
      </c>
      <c r="J465" s="16" t="str">
        <f>IF(B465="","",IF(OR(F465="",G465=""),"IC",VLOOKUP(I465,Scale[],2,1)))</f>
        <v/>
      </c>
    </row>
    <row r="466" spans="1:10" x14ac:dyDescent="0.35">
      <c r="A466" s="34"/>
      <c r="B466" s="35"/>
      <c r="C466" s="34"/>
      <c r="D466" s="34"/>
      <c r="E466" s="34"/>
      <c r="F466" s="46"/>
      <c r="G466" s="46"/>
      <c r="H466" s="14" t="str">
        <f>IF(Assessment_Sheet[[#This Row],[NAME ]]="","",ROUND((G466/60*40),0))</f>
        <v/>
      </c>
      <c r="I466" s="15" t="str">
        <f t="shared" si="8"/>
        <v/>
      </c>
      <c r="J466" s="16" t="str">
        <f>IF(B466="","",IF(OR(F466="",G466=""),"IC",VLOOKUP(I466,Scale[],2,1)))</f>
        <v/>
      </c>
    </row>
    <row r="467" spans="1:10" x14ac:dyDescent="0.35">
      <c r="A467" s="34"/>
      <c r="B467" s="35"/>
      <c r="C467" s="34"/>
      <c r="D467" s="34"/>
      <c r="E467" s="34"/>
      <c r="F467" s="46"/>
      <c r="G467" s="46"/>
      <c r="H467" s="14" t="str">
        <f>IF(Assessment_Sheet[[#This Row],[NAME ]]="","",ROUND((G467/60*40),0))</f>
        <v/>
      </c>
      <c r="I467" s="15" t="str">
        <f t="shared" si="8"/>
        <v/>
      </c>
      <c r="J467" s="16" t="str">
        <f>IF(B467="","",IF(OR(F467="",G467=""),"IC",VLOOKUP(I467,Scale[],2,1)))</f>
        <v/>
      </c>
    </row>
    <row r="468" spans="1:10" x14ac:dyDescent="0.35">
      <c r="A468" s="34"/>
      <c r="B468" s="35"/>
      <c r="C468" s="34"/>
      <c r="D468" s="34"/>
      <c r="E468" s="34"/>
      <c r="F468" s="46"/>
      <c r="G468" s="46"/>
      <c r="H468" s="14" t="str">
        <f>IF(Assessment_Sheet[[#This Row],[NAME ]]="","",ROUND((G468/60*40),0))</f>
        <v/>
      </c>
      <c r="I468" s="15" t="str">
        <f t="shared" si="8"/>
        <v/>
      </c>
      <c r="J468" s="16" t="str">
        <f>IF(B468="","",IF(OR(F468="",G468=""),"IC",VLOOKUP(I468,Scale[],2,1)))</f>
        <v/>
      </c>
    </row>
    <row r="469" spans="1:10" x14ac:dyDescent="0.35">
      <c r="A469" s="34"/>
      <c r="B469" s="35"/>
      <c r="C469" s="34"/>
      <c r="D469" s="34"/>
      <c r="E469" s="34"/>
      <c r="F469" s="46"/>
      <c r="G469" s="46"/>
      <c r="H469" s="14" t="str">
        <f>IF(Assessment_Sheet[[#This Row],[NAME ]]="","",ROUND((G469/60*40),0))</f>
        <v/>
      </c>
      <c r="I469" s="15" t="str">
        <f t="shared" si="8"/>
        <v/>
      </c>
      <c r="J469" s="16" t="str">
        <f>IF(B469="","",IF(OR(F469="",G469=""),"IC",VLOOKUP(I469,Scale[],2,1)))</f>
        <v/>
      </c>
    </row>
    <row r="470" spans="1:10" x14ac:dyDescent="0.35">
      <c r="A470" s="34"/>
      <c r="B470" s="35"/>
      <c r="C470" s="34"/>
      <c r="D470" s="34"/>
      <c r="E470" s="34"/>
      <c r="F470" s="46"/>
      <c r="G470" s="46"/>
      <c r="H470" s="14" t="str">
        <f>IF(Assessment_Sheet[[#This Row],[NAME ]]="","",ROUND((G470/60*40),0))</f>
        <v/>
      </c>
      <c r="I470" s="15" t="str">
        <f t="shared" si="8"/>
        <v/>
      </c>
      <c r="J470" s="16" t="str">
        <f>IF(B470="","",IF(OR(F470="",G470=""),"IC",VLOOKUP(I470,Scale[],2,1)))</f>
        <v/>
      </c>
    </row>
    <row r="471" spans="1:10" x14ac:dyDescent="0.35">
      <c r="A471" s="34"/>
      <c r="B471" s="35"/>
      <c r="C471" s="34"/>
      <c r="D471" s="34"/>
      <c r="E471" s="34"/>
      <c r="F471" s="46"/>
      <c r="G471" s="46"/>
      <c r="H471" s="14" t="str">
        <f>IF(Assessment_Sheet[[#This Row],[NAME ]]="","",ROUND((G471/60*40),0))</f>
        <v/>
      </c>
      <c r="I471" s="15" t="str">
        <f t="shared" si="8"/>
        <v/>
      </c>
      <c r="J471" s="16" t="str">
        <f>IF(B471="","",IF(OR(F471="",G471=""),"IC",VLOOKUP(I471,Scale[],2,1)))</f>
        <v/>
      </c>
    </row>
    <row r="472" spans="1:10" x14ac:dyDescent="0.35">
      <c r="A472" s="34"/>
      <c r="B472" s="35"/>
      <c r="C472" s="34"/>
      <c r="D472" s="34"/>
      <c r="E472" s="34"/>
      <c r="F472" s="46"/>
      <c r="G472" s="46"/>
      <c r="H472" s="14" t="str">
        <f>IF(Assessment_Sheet[[#This Row],[NAME ]]="","",ROUND((G472/60*40),0))</f>
        <v/>
      </c>
      <c r="I472" s="15" t="str">
        <f t="shared" si="8"/>
        <v/>
      </c>
      <c r="J472" s="16" t="str">
        <f>IF(B472="","",IF(OR(F472="",G472=""),"IC",VLOOKUP(I472,Scale[],2,1)))</f>
        <v/>
      </c>
    </row>
    <row r="473" spans="1:10" x14ac:dyDescent="0.35">
      <c r="A473" s="34"/>
      <c r="B473" s="35"/>
      <c r="C473" s="34"/>
      <c r="D473" s="34"/>
      <c r="E473" s="34"/>
      <c r="F473" s="46"/>
      <c r="G473" s="46"/>
      <c r="H473" s="14" t="str">
        <f>IF(Assessment_Sheet[[#This Row],[NAME ]]="","",ROUND((G473/60*40),0))</f>
        <v/>
      </c>
      <c r="I473" s="15" t="str">
        <f t="shared" si="8"/>
        <v/>
      </c>
      <c r="J473" s="16" t="str">
        <f>IF(B473="","",IF(OR(F473="",G473=""),"IC",VLOOKUP(I473,Scale[],2,1)))</f>
        <v/>
      </c>
    </row>
    <row r="474" spans="1:10" x14ac:dyDescent="0.35">
      <c r="A474" s="34"/>
      <c r="B474" s="35"/>
      <c r="C474" s="34"/>
      <c r="D474" s="34"/>
      <c r="E474" s="34"/>
      <c r="F474" s="46"/>
      <c r="G474" s="46"/>
      <c r="H474" s="14" t="str">
        <f>IF(Assessment_Sheet[[#This Row],[NAME ]]="","",ROUND((G474/60*40),0))</f>
        <v/>
      </c>
      <c r="I474" s="15" t="str">
        <f t="shared" si="8"/>
        <v/>
      </c>
      <c r="J474" s="16" t="str">
        <f>IF(B474="","",IF(OR(F474="",G474=""),"IC",VLOOKUP(I474,Scale[],2,1)))</f>
        <v/>
      </c>
    </row>
    <row r="475" spans="1:10" x14ac:dyDescent="0.35">
      <c r="A475" s="34"/>
      <c r="B475" s="35"/>
      <c r="C475" s="34"/>
      <c r="D475" s="34"/>
      <c r="E475" s="34"/>
      <c r="F475" s="46"/>
      <c r="G475" s="46"/>
      <c r="H475" s="14" t="str">
        <f>IF(Assessment_Sheet[[#This Row],[NAME ]]="","",ROUND((G475/60*40),0))</f>
        <v/>
      </c>
      <c r="I475" s="15" t="str">
        <f t="shared" si="8"/>
        <v/>
      </c>
      <c r="J475" s="16" t="str">
        <f>IF(B475="","",IF(OR(F475="",G475=""),"IC",VLOOKUP(I475,Scale[],2,1)))</f>
        <v/>
      </c>
    </row>
    <row r="476" spans="1:10" x14ac:dyDescent="0.35">
      <c r="A476" s="34"/>
      <c r="B476" s="35"/>
      <c r="C476" s="34"/>
      <c r="D476" s="34"/>
      <c r="E476" s="34"/>
      <c r="F476" s="46"/>
      <c r="G476" s="46"/>
      <c r="H476" s="14" t="str">
        <f>IF(Assessment_Sheet[[#This Row],[NAME ]]="","",ROUND((G476/60*40),0))</f>
        <v/>
      </c>
      <c r="I476" s="15" t="str">
        <f t="shared" si="8"/>
        <v/>
      </c>
      <c r="J476" s="16" t="str">
        <f>IF(B476="","",IF(OR(F476="",G476=""),"IC",VLOOKUP(I476,Scale[],2,1)))</f>
        <v/>
      </c>
    </row>
    <row r="477" spans="1:10" x14ac:dyDescent="0.35">
      <c r="A477" s="34"/>
      <c r="B477" s="35"/>
      <c r="C477" s="34"/>
      <c r="D477" s="34"/>
      <c r="E477" s="34"/>
      <c r="F477" s="46"/>
      <c r="G477" s="46"/>
      <c r="H477" s="14" t="str">
        <f>IF(Assessment_Sheet[[#This Row],[NAME ]]="","",ROUND((G477/60*40),0))</f>
        <v/>
      </c>
      <c r="I477" s="15" t="str">
        <f t="shared" si="8"/>
        <v/>
      </c>
      <c r="J477" s="16" t="str">
        <f>IF(B477="","",IF(OR(F477="",G477=""),"IC",VLOOKUP(I477,Scale[],2,1)))</f>
        <v/>
      </c>
    </row>
    <row r="478" spans="1:10" x14ac:dyDescent="0.35">
      <c r="A478" s="34"/>
      <c r="B478" s="35"/>
      <c r="C478" s="34"/>
      <c r="D478" s="34"/>
      <c r="E478" s="34"/>
      <c r="F478" s="46"/>
      <c r="G478" s="46"/>
      <c r="H478" s="14" t="str">
        <f>IF(Assessment_Sheet[[#This Row],[NAME ]]="","",ROUND((G478/60*40),0))</f>
        <v/>
      </c>
      <c r="I478" s="15" t="str">
        <f t="shared" si="8"/>
        <v/>
      </c>
      <c r="J478" s="16" t="str">
        <f>IF(B478="","",IF(OR(F478="",G478=""),"IC",VLOOKUP(I478,Scale[],2,1)))</f>
        <v/>
      </c>
    </row>
    <row r="479" spans="1:10" x14ac:dyDescent="0.35">
      <c r="A479" s="34"/>
      <c r="B479" s="35"/>
      <c r="C479" s="34"/>
      <c r="D479" s="34"/>
      <c r="E479" s="34"/>
      <c r="F479" s="46"/>
      <c r="G479" s="46"/>
      <c r="H479" s="14" t="str">
        <f>IF(Assessment_Sheet[[#This Row],[NAME ]]="","",ROUND((G479/60*40),0))</f>
        <v/>
      </c>
      <c r="I479" s="15" t="str">
        <f t="shared" si="8"/>
        <v/>
      </c>
      <c r="J479" s="16" t="str">
        <f>IF(B479="","",IF(OR(F479="",G479=""),"IC",VLOOKUP(I479,Scale[],2,1)))</f>
        <v/>
      </c>
    </row>
    <row r="480" spans="1:10" x14ac:dyDescent="0.35">
      <c r="A480" s="34"/>
      <c r="B480" s="35"/>
      <c r="C480" s="34"/>
      <c r="D480" s="34"/>
      <c r="E480" s="34"/>
      <c r="F480" s="46"/>
      <c r="G480" s="46"/>
      <c r="H480" s="14" t="str">
        <f>IF(Assessment_Sheet[[#This Row],[NAME ]]="","",ROUND((G480/60*40),0))</f>
        <v/>
      </c>
      <c r="I480" s="15" t="str">
        <f t="shared" si="8"/>
        <v/>
      </c>
      <c r="J480" s="16" t="str">
        <f>IF(B480="","",IF(OR(F480="",G480=""),"IC",VLOOKUP(I480,Scale[],2,1)))</f>
        <v/>
      </c>
    </row>
    <row r="481" spans="1:10" x14ac:dyDescent="0.35">
      <c r="A481" s="34"/>
      <c r="B481" s="35"/>
      <c r="C481" s="34"/>
      <c r="D481" s="34"/>
      <c r="E481" s="34"/>
      <c r="F481" s="46"/>
      <c r="G481" s="46"/>
      <c r="H481" s="14" t="str">
        <f>IF(Assessment_Sheet[[#This Row],[NAME ]]="","",ROUND((G481/60*40),0))</f>
        <v/>
      </c>
      <c r="I481" s="15" t="str">
        <f t="shared" si="8"/>
        <v/>
      </c>
      <c r="J481" s="16" t="str">
        <f>IF(B481="","",IF(OR(F481="",G481=""),"IC",VLOOKUP(I481,Scale[],2,1)))</f>
        <v/>
      </c>
    </row>
    <row r="482" spans="1:10" x14ac:dyDescent="0.35">
      <c r="A482" s="34"/>
      <c r="B482" s="35"/>
      <c r="C482" s="34"/>
      <c r="D482" s="34"/>
      <c r="E482" s="34"/>
      <c r="F482" s="46"/>
      <c r="G482" s="46"/>
      <c r="H482" s="14" t="str">
        <f>IF(Assessment_Sheet[[#This Row],[NAME ]]="","",ROUND((G482/60*40),0))</f>
        <v/>
      </c>
      <c r="I482" s="15" t="str">
        <f t="shared" si="8"/>
        <v/>
      </c>
      <c r="J482" s="16" t="str">
        <f>IF(B482="","",IF(OR(F482="",G482=""),"IC",VLOOKUP(I482,Scale[],2,1)))</f>
        <v/>
      </c>
    </row>
    <row r="483" spans="1:10" x14ac:dyDescent="0.35">
      <c r="A483" s="34"/>
      <c r="B483" s="35"/>
      <c r="C483" s="34"/>
      <c r="D483" s="34"/>
      <c r="E483" s="34"/>
      <c r="F483" s="46"/>
      <c r="G483" s="46"/>
      <c r="H483" s="14" t="str">
        <f>IF(Assessment_Sheet[[#This Row],[NAME ]]="","",ROUND((G483/60*40),0))</f>
        <v/>
      </c>
      <c r="I483" s="15" t="str">
        <f t="shared" si="8"/>
        <v/>
      </c>
      <c r="J483" s="16" t="str">
        <f>IF(B483="","",IF(OR(F483="",G483=""),"IC",VLOOKUP(I483,Scale[],2,1)))</f>
        <v/>
      </c>
    </row>
    <row r="484" spans="1:10" x14ac:dyDescent="0.35">
      <c r="A484" s="34"/>
      <c r="B484" s="35"/>
      <c r="C484" s="34"/>
      <c r="D484" s="34"/>
      <c r="E484" s="34"/>
      <c r="F484" s="46"/>
      <c r="G484" s="46"/>
      <c r="H484" s="14" t="str">
        <f>IF(Assessment_Sheet[[#This Row],[NAME ]]="","",ROUND((G484/60*40),0))</f>
        <v/>
      </c>
      <c r="I484" s="15" t="str">
        <f t="shared" si="8"/>
        <v/>
      </c>
      <c r="J484" s="16" t="str">
        <f>IF(B484="","",IF(OR(F484="",G484=""),"IC",VLOOKUP(I484,Scale[],2,1)))</f>
        <v/>
      </c>
    </row>
    <row r="485" spans="1:10" x14ac:dyDescent="0.35">
      <c r="A485" s="34"/>
      <c r="B485" s="35"/>
      <c r="C485" s="34"/>
      <c r="D485" s="34"/>
      <c r="E485" s="34"/>
      <c r="F485" s="46"/>
      <c r="G485" s="46"/>
      <c r="H485" s="14" t="str">
        <f>IF(Assessment_Sheet[[#This Row],[NAME ]]="","",ROUND((G485/60*40),0))</f>
        <v/>
      </c>
      <c r="I485" s="15" t="str">
        <f t="shared" si="8"/>
        <v/>
      </c>
      <c r="J485" s="16" t="str">
        <f>IF(B485="","",IF(OR(F485="",G485=""),"IC",VLOOKUP(I485,Scale[],2,1)))</f>
        <v/>
      </c>
    </row>
    <row r="486" spans="1:10" x14ac:dyDescent="0.35">
      <c r="A486" s="34"/>
      <c r="B486" s="35"/>
      <c r="C486" s="34"/>
      <c r="D486" s="34"/>
      <c r="E486" s="34"/>
      <c r="F486" s="46"/>
      <c r="G486" s="46"/>
      <c r="H486" s="14" t="str">
        <f>IF(Assessment_Sheet[[#This Row],[NAME ]]="","",ROUND((G486/60*40),0))</f>
        <v/>
      </c>
      <c r="I486" s="15" t="str">
        <f t="shared" si="8"/>
        <v/>
      </c>
      <c r="J486" s="16" t="str">
        <f>IF(B486="","",IF(OR(F486="",G486=""),"IC",VLOOKUP(I486,Scale[],2,1)))</f>
        <v/>
      </c>
    </row>
    <row r="487" spans="1:10" x14ac:dyDescent="0.35">
      <c r="A487" s="34"/>
      <c r="B487" s="35"/>
      <c r="C487" s="34"/>
      <c r="D487" s="34"/>
      <c r="E487" s="34"/>
      <c r="F487" s="46"/>
      <c r="G487" s="46"/>
      <c r="H487" s="14" t="str">
        <f>IF(Assessment_Sheet[[#This Row],[NAME ]]="","",ROUND((G487/60*40),0))</f>
        <v/>
      </c>
      <c r="I487" s="15" t="str">
        <f t="shared" si="8"/>
        <v/>
      </c>
      <c r="J487" s="16" t="str">
        <f>IF(B487="","",IF(OR(F487="",G487=""),"IC",VLOOKUP(I487,Scale[],2,1)))</f>
        <v/>
      </c>
    </row>
    <row r="488" spans="1:10" x14ac:dyDescent="0.35">
      <c r="A488" s="34"/>
      <c r="B488" s="35"/>
      <c r="C488" s="34"/>
      <c r="D488" s="34"/>
      <c r="E488" s="34"/>
      <c r="F488" s="46"/>
      <c r="G488" s="46"/>
      <c r="H488" s="14" t="str">
        <f>IF(Assessment_Sheet[[#This Row],[NAME ]]="","",ROUND((G488/60*40),0))</f>
        <v/>
      </c>
      <c r="I488" s="15" t="str">
        <f t="shared" si="8"/>
        <v/>
      </c>
      <c r="J488" s="16" t="str">
        <f>IF(B488="","",IF(OR(F488="",G488=""),"IC",VLOOKUP(I488,Scale[],2,1)))</f>
        <v/>
      </c>
    </row>
    <row r="489" spans="1:10" x14ac:dyDescent="0.35">
      <c r="A489" s="34"/>
      <c r="B489" s="35"/>
      <c r="C489" s="34"/>
      <c r="D489" s="34"/>
      <c r="E489" s="34"/>
      <c r="F489" s="46"/>
      <c r="G489" s="46"/>
      <c r="H489" s="14" t="str">
        <f>IF(Assessment_Sheet[[#This Row],[NAME ]]="","",ROUND((G489/60*40),0))</f>
        <v/>
      </c>
      <c r="I489" s="15" t="str">
        <f t="shared" si="8"/>
        <v/>
      </c>
      <c r="J489" s="16" t="str">
        <f>IF(B489="","",IF(OR(F489="",G489=""),"IC",VLOOKUP(I489,Scale[],2,1)))</f>
        <v/>
      </c>
    </row>
    <row r="490" spans="1:10" x14ac:dyDescent="0.35">
      <c r="A490" s="34"/>
      <c r="B490" s="35"/>
      <c r="C490" s="34"/>
      <c r="D490" s="34"/>
      <c r="E490" s="34"/>
      <c r="F490" s="46"/>
      <c r="G490" s="46"/>
      <c r="H490" s="14" t="str">
        <f>IF(Assessment_Sheet[[#This Row],[NAME ]]="","",ROUND((G490/60*40),0))</f>
        <v/>
      </c>
      <c r="I490" s="15" t="str">
        <f t="shared" si="8"/>
        <v/>
      </c>
      <c r="J490" s="16" t="str">
        <f>IF(B490="","",IF(OR(F490="",G490=""),"IC",VLOOKUP(I490,Scale[],2,1)))</f>
        <v/>
      </c>
    </row>
    <row r="491" spans="1:10" x14ac:dyDescent="0.35">
      <c r="A491" s="34"/>
      <c r="B491" s="35"/>
      <c r="C491" s="34"/>
      <c r="D491" s="34"/>
      <c r="E491" s="34"/>
      <c r="F491" s="46"/>
      <c r="G491" s="46"/>
      <c r="H491" s="14" t="str">
        <f>IF(Assessment_Sheet[[#This Row],[NAME ]]="","",ROUND((G491/60*40),0))</f>
        <v/>
      </c>
      <c r="I491" s="15" t="str">
        <f t="shared" si="8"/>
        <v/>
      </c>
      <c r="J491" s="16" t="str">
        <f>IF(B491="","",IF(OR(F491="",G491=""),"IC",VLOOKUP(I491,Scale[],2,1)))</f>
        <v/>
      </c>
    </row>
    <row r="492" spans="1:10" x14ac:dyDescent="0.35">
      <c r="A492" s="34"/>
      <c r="B492" s="35"/>
      <c r="C492" s="34"/>
      <c r="D492" s="34"/>
      <c r="E492" s="34"/>
      <c r="F492" s="46"/>
      <c r="G492" s="46"/>
      <c r="H492" s="14" t="str">
        <f>IF(Assessment_Sheet[[#This Row],[NAME ]]="","",ROUND((G492/60*40),0))</f>
        <v/>
      </c>
      <c r="I492" s="15" t="str">
        <f t="shared" si="8"/>
        <v/>
      </c>
      <c r="J492" s="16" t="str">
        <f>IF(B492="","",IF(OR(F492="",G492=""),"IC",VLOOKUP(I492,Scale[],2,1)))</f>
        <v/>
      </c>
    </row>
    <row r="493" spans="1:10" x14ac:dyDescent="0.35">
      <c r="A493" s="34"/>
      <c r="B493" s="35"/>
      <c r="C493" s="34"/>
      <c r="D493" s="34"/>
      <c r="E493" s="34"/>
      <c r="F493" s="46"/>
      <c r="G493" s="46"/>
      <c r="H493" s="14" t="str">
        <f>IF(Assessment_Sheet[[#This Row],[NAME ]]="","",ROUND((G493/60*40),0))</f>
        <v/>
      </c>
      <c r="I493" s="15" t="str">
        <f t="shared" si="8"/>
        <v/>
      </c>
      <c r="J493" s="16" t="str">
        <f>IF(B493="","",IF(OR(F493="",G493=""),"IC",VLOOKUP(I493,Scale[],2,1)))</f>
        <v/>
      </c>
    </row>
    <row r="494" spans="1:10" x14ac:dyDescent="0.35">
      <c r="A494" s="34"/>
      <c r="B494" s="35"/>
      <c r="C494" s="34"/>
      <c r="D494" s="34"/>
      <c r="E494" s="34"/>
      <c r="F494" s="46"/>
      <c r="G494" s="46"/>
      <c r="H494" s="14" t="str">
        <f>IF(Assessment_Sheet[[#This Row],[NAME ]]="","",ROUND((G494/60*40),0))</f>
        <v/>
      </c>
      <c r="I494" s="15" t="str">
        <f t="shared" si="8"/>
        <v/>
      </c>
      <c r="J494" s="16" t="str">
        <f>IF(B494="","",IF(OR(F494="",G494=""),"IC",VLOOKUP(I494,Scale[],2,1)))</f>
        <v/>
      </c>
    </row>
    <row r="495" spans="1:10" x14ac:dyDescent="0.35">
      <c r="A495" s="34"/>
      <c r="B495" s="35"/>
      <c r="C495" s="34"/>
      <c r="D495" s="34"/>
      <c r="E495" s="34"/>
      <c r="F495" s="46"/>
      <c r="G495" s="46"/>
      <c r="H495" s="14" t="str">
        <f>IF(Assessment_Sheet[[#This Row],[NAME ]]="","",ROUND((G495/60*40),0))</f>
        <v/>
      </c>
      <c r="I495" s="15" t="str">
        <f t="shared" si="8"/>
        <v/>
      </c>
      <c r="J495" s="16" t="str">
        <f>IF(B495="","",IF(OR(F495="",G495=""),"IC",VLOOKUP(I495,Scale[],2,1)))</f>
        <v/>
      </c>
    </row>
    <row r="496" spans="1:10" x14ac:dyDescent="0.35">
      <c r="A496" s="34"/>
      <c r="B496" s="35"/>
      <c r="C496" s="34"/>
      <c r="D496" s="34"/>
      <c r="E496" s="34"/>
      <c r="F496" s="46"/>
      <c r="G496" s="46"/>
      <c r="H496" s="14" t="str">
        <f>IF(Assessment_Sheet[[#This Row],[NAME ]]="","",ROUND((G496/60*40),0))</f>
        <v/>
      </c>
      <c r="I496" s="15" t="str">
        <f t="shared" si="8"/>
        <v/>
      </c>
      <c r="J496" s="16" t="str">
        <f>IF(B496="","",IF(OR(F496="",G496=""),"IC",VLOOKUP(I496,Scale[],2,1)))</f>
        <v/>
      </c>
    </row>
    <row r="497" spans="1:10" x14ac:dyDescent="0.35">
      <c r="A497" s="34"/>
      <c r="B497" s="35"/>
      <c r="C497" s="34"/>
      <c r="D497" s="34"/>
      <c r="E497" s="34"/>
      <c r="F497" s="46"/>
      <c r="G497" s="46"/>
      <c r="H497" s="14" t="str">
        <f>IF(Assessment_Sheet[[#This Row],[NAME ]]="","",ROUND((G497/60*40),0))</f>
        <v/>
      </c>
      <c r="I497" s="15" t="str">
        <f t="shared" si="8"/>
        <v/>
      </c>
      <c r="J497" s="16" t="str">
        <f>IF(B497="","",IF(OR(F497="",G497=""),"IC",VLOOKUP(I497,Scale[],2,1)))</f>
        <v/>
      </c>
    </row>
    <row r="498" spans="1:10" x14ac:dyDescent="0.35">
      <c r="A498" s="34"/>
      <c r="B498" s="35"/>
      <c r="C498" s="34"/>
      <c r="D498" s="34"/>
      <c r="E498" s="34"/>
      <c r="F498" s="46"/>
      <c r="G498" s="46"/>
      <c r="H498" s="14" t="str">
        <f>IF(Assessment_Sheet[[#This Row],[NAME ]]="","",ROUND((G498/60*40),0))</f>
        <v/>
      </c>
      <c r="I498" s="15" t="str">
        <f t="shared" si="8"/>
        <v/>
      </c>
      <c r="J498" s="16" t="str">
        <f>IF(B498="","",IF(OR(F498="",G498=""),"IC",VLOOKUP(I498,Scale[],2,1)))</f>
        <v/>
      </c>
    </row>
    <row r="499" spans="1:10" x14ac:dyDescent="0.35">
      <c r="A499" s="34"/>
      <c r="B499" s="35"/>
      <c r="C499" s="34"/>
      <c r="D499" s="34"/>
      <c r="E499" s="34"/>
      <c r="F499" s="46"/>
      <c r="G499" s="46"/>
      <c r="H499" s="14" t="str">
        <f>IF(Assessment_Sheet[[#This Row],[NAME ]]="","",ROUND((G499/60*40),0))</f>
        <v/>
      </c>
      <c r="I499" s="15" t="str">
        <f t="shared" si="8"/>
        <v/>
      </c>
      <c r="J499" s="16" t="str">
        <f>IF(B499="","",IF(OR(F499="",G499=""),"IC",VLOOKUP(I499,Scale[],2,1)))</f>
        <v/>
      </c>
    </row>
    <row r="500" spans="1:10" x14ac:dyDescent="0.35">
      <c r="A500" s="34"/>
      <c r="B500" s="35"/>
      <c r="C500" s="34"/>
      <c r="D500" s="34"/>
      <c r="E500" s="34"/>
      <c r="F500" s="46"/>
      <c r="G500" s="46"/>
      <c r="H500" s="14" t="str">
        <f>IF(Assessment_Sheet[[#This Row],[NAME ]]="","",ROUND((G500/60*40),0))</f>
        <v/>
      </c>
      <c r="I500" s="15" t="str">
        <f t="shared" si="8"/>
        <v/>
      </c>
      <c r="J500" s="16" t="str">
        <f>IF(B500="","",IF(OR(F500="",G500=""),"IC",VLOOKUP(I500,Scale[],2,1)))</f>
        <v/>
      </c>
    </row>
    <row r="501" spans="1:10" x14ac:dyDescent="0.35">
      <c r="A501" s="34"/>
      <c r="B501" s="35"/>
      <c r="C501" s="34"/>
      <c r="D501" s="34"/>
      <c r="E501" s="34"/>
      <c r="F501" s="46"/>
      <c r="G501" s="46"/>
      <c r="H501" s="14" t="str">
        <f>IF(Assessment_Sheet[[#This Row],[NAME ]]="","",ROUND((G501/60*40),0))</f>
        <v/>
      </c>
      <c r="I501" s="15" t="str">
        <f t="shared" si="8"/>
        <v/>
      </c>
      <c r="J501" s="16" t="str">
        <f>IF(B501="","",IF(OR(F501="",G501=""),"IC",VLOOKUP(I501,Scale[],2,1)))</f>
        <v/>
      </c>
    </row>
    <row r="502" spans="1:10" x14ac:dyDescent="0.35">
      <c r="A502" s="34"/>
      <c r="B502" s="35"/>
      <c r="C502" s="34"/>
      <c r="D502" s="34"/>
      <c r="E502" s="34"/>
      <c r="F502" s="46"/>
      <c r="G502" s="46"/>
      <c r="H502" s="14" t="str">
        <f>IF(Assessment_Sheet[[#This Row],[NAME ]]="","",ROUND((G502/60*40),0))</f>
        <v/>
      </c>
      <c r="I502" s="15" t="str">
        <f t="shared" si="8"/>
        <v/>
      </c>
      <c r="J502" s="16" t="str">
        <f>IF(B502="","",IF(OR(F502="",G502=""),"IC",VLOOKUP(I502,Scale[],2,1)))</f>
        <v/>
      </c>
    </row>
    <row r="503" spans="1:10" x14ac:dyDescent="0.35">
      <c r="A503" s="34"/>
      <c r="B503" s="35"/>
      <c r="C503" s="34"/>
      <c r="D503" s="34"/>
      <c r="E503" s="34"/>
      <c r="F503" s="46"/>
      <c r="G503" s="46"/>
      <c r="H503" s="14" t="str">
        <f>IF(Assessment_Sheet[[#This Row],[NAME ]]="","",ROUND((G503/60*40),0))</f>
        <v/>
      </c>
      <c r="I503" s="15" t="str">
        <f t="shared" si="8"/>
        <v/>
      </c>
      <c r="J503" s="16" t="str">
        <f>IF(B503="","",IF(OR(F503="",G503=""),"IC",VLOOKUP(I503,Scale[],2,1)))</f>
        <v/>
      </c>
    </row>
    <row r="504" spans="1:10" x14ac:dyDescent="0.35">
      <c r="A504" s="34"/>
      <c r="B504" s="35"/>
      <c r="C504" s="34"/>
      <c r="D504" s="34"/>
      <c r="E504" s="34"/>
      <c r="F504" s="46"/>
      <c r="G504" s="46"/>
      <c r="H504" s="14" t="str">
        <f>IF(Assessment_Sheet[[#This Row],[NAME ]]="","",ROUND((G504/60*40),0))</f>
        <v/>
      </c>
      <c r="I504" s="15" t="str">
        <f t="shared" si="8"/>
        <v/>
      </c>
      <c r="J504" s="16" t="str">
        <f>IF(B504="","",IF(OR(F504="",G504=""),"IC",VLOOKUP(I504,Scale[],2,1)))</f>
        <v/>
      </c>
    </row>
    <row r="505" spans="1:10" x14ac:dyDescent="0.35">
      <c r="A505" s="34"/>
      <c r="B505" s="35"/>
      <c r="C505" s="34"/>
      <c r="D505" s="34"/>
      <c r="E505" s="34"/>
      <c r="F505" s="46"/>
      <c r="G505" s="46"/>
      <c r="H505" s="14" t="str">
        <f>IF(Assessment_Sheet[[#This Row],[NAME ]]="","",ROUND((G505/60*40),0))</f>
        <v/>
      </c>
      <c r="I505" s="15" t="str">
        <f t="shared" si="8"/>
        <v/>
      </c>
      <c r="J505" s="16" t="str">
        <f>IF(B505="","",IF(OR(F505="",G505=""),"IC",VLOOKUP(I505,Scale[],2,1)))</f>
        <v/>
      </c>
    </row>
    <row r="506" spans="1:10" x14ac:dyDescent="0.35">
      <c r="A506" s="34"/>
      <c r="B506" s="35"/>
      <c r="C506" s="34"/>
      <c r="D506" s="34"/>
      <c r="E506" s="34"/>
      <c r="F506" s="46"/>
      <c r="G506" s="46"/>
      <c r="H506" s="14" t="str">
        <f>IF(Assessment_Sheet[[#This Row],[NAME ]]="","",ROUND((G506/60*40),0))</f>
        <v/>
      </c>
      <c r="I506" s="15" t="str">
        <f t="shared" si="8"/>
        <v/>
      </c>
      <c r="J506" s="16" t="str">
        <f>IF(B506="","",IF(OR(F506="",G506=""),"IC",VLOOKUP(I506,Scale[],2,1)))</f>
        <v/>
      </c>
    </row>
    <row r="507" spans="1:10" x14ac:dyDescent="0.35">
      <c r="A507" s="34"/>
      <c r="B507" s="35"/>
      <c r="C507" s="34"/>
      <c r="D507" s="34"/>
      <c r="E507" s="34"/>
      <c r="F507" s="46"/>
      <c r="G507" s="46"/>
      <c r="H507" s="14" t="str">
        <f>IF(Assessment_Sheet[[#This Row],[NAME ]]="","",ROUND((G507/60*40),0))</f>
        <v/>
      </c>
      <c r="I507" s="15" t="str">
        <f t="shared" si="8"/>
        <v/>
      </c>
      <c r="J507" s="16" t="str">
        <f>IF(B507="","",IF(OR(F507="",G507=""),"IC",VLOOKUP(I507,Scale[],2,1)))</f>
        <v/>
      </c>
    </row>
    <row r="508" spans="1:10" x14ac:dyDescent="0.35">
      <c r="A508" s="34"/>
      <c r="B508" s="35"/>
      <c r="C508" s="34"/>
      <c r="D508" s="34"/>
      <c r="E508" s="34"/>
      <c r="F508" s="46"/>
      <c r="G508" s="46"/>
      <c r="H508" s="14" t="str">
        <f>IF(Assessment_Sheet[[#This Row],[NAME ]]="","",ROUND((G508/60*40),0))</f>
        <v/>
      </c>
      <c r="I508" s="15" t="str">
        <f t="shared" si="8"/>
        <v/>
      </c>
      <c r="J508" s="16" t="str">
        <f>IF(B508="","",IF(OR(F508="",G508=""),"IC",VLOOKUP(I508,Scale[],2,1)))</f>
        <v/>
      </c>
    </row>
    <row r="509" spans="1:10" x14ac:dyDescent="0.35">
      <c r="A509" s="34"/>
      <c r="B509" s="35"/>
      <c r="C509" s="34"/>
      <c r="D509" s="34"/>
      <c r="E509" s="34"/>
      <c r="F509" s="46"/>
      <c r="G509" s="46"/>
      <c r="H509" s="14" t="str">
        <f>IF(Assessment_Sheet[[#This Row],[NAME ]]="","",ROUND((G509/60*40),0))</f>
        <v/>
      </c>
      <c r="I509" s="15" t="str">
        <f t="shared" si="8"/>
        <v/>
      </c>
      <c r="J509" s="16" t="str">
        <f>IF(B509="","",IF(OR(F509="",G509=""),"IC",VLOOKUP(I509,Scale[],2,1)))</f>
        <v/>
      </c>
    </row>
    <row r="510" spans="1:10" x14ac:dyDescent="0.35">
      <c r="A510" s="34"/>
      <c r="B510" s="35"/>
      <c r="C510" s="34"/>
      <c r="D510" s="34"/>
      <c r="E510" s="34"/>
      <c r="F510" s="46"/>
      <c r="G510" s="46"/>
      <c r="H510" s="14" t="str">
        <f>IF(Assessment_Sheet[[#This Row],[NAME ]]="","",ROUND((G510/60*40),0))</f>
        <v/>
      </c>
      <c r="I510" s="15" t="str">
        <f t="shared" si="8"/>
        <v/>
      </c>
      <c r="J510" s="16" t="str">
        <f>IF(B510="","",IF(OR(F510="",G510=""),"IC",VLOOKUP(I510,Scale[],2,1)))</f>
        <v/>
      </c>
    </row>
    <row r="511" spans="1:10" x14ac:dyDescent="0.35">
      <c r="A511" s="34"/>
      <c r="B511" s="35"/>
      <c r="C511" s="34"/>
      <c r="D511" s="34"/>
      <c r="E511" s="34"/>
      <c r="F511" s="46"/>
      <c r="G511" s="46"/>
      <c r="H511" s="14" t="str">
        <f>IF(Assessment_Sheet[[#This Row],[NAME ]]="","",ROUND((G511/60*40),0))</f>
        <v/>
      </c>
      <c r="I511" s="15" t="str">
        <f t="shared" si="8"/>
        <v/>
      </c>
      <c r="J511" s="16" t="str">
        <f>IF(B511="","",IF(OR(F511="",G511=""),"IC",VLOOKUP(I511,Scale[],2,1)))</f>
        <v/>
      </c>
    </row>
    <row r="512" spans="1:10" x14ac:dyDescent="0.35">
      <c r="A512" s="34"/>
      <c r="B512" s="35"/>
      <c r="C512" s="34"/>
      <c r="D512" s="34"/>
      <c r="E512" s="34"/>
      <c r="F512" s="46"/>
      <c r="G512" s="46"/>
      <c r="H512" s="14" t="str">
        <f>IF(Assessment_Sheet[[#This Row],[NAME ]]="","",ROUND((G512/60*40),0))</f>
        <v/>
      </c>
      <c r="I512" s="15" t="str">
        <f t="shared" si="8"/>
        <v/>
      </c>
      <c r="J512" s="16" t="str">
        <f>IF(B512="","",IF(OR(F512="",G512=""),"IC",VLOOKUP(I512,Scale[],2,1)))</f>
        <v/>
      </c>
    </row>
    <row r="513" spans="1:10" x14ac:dyDescent="0.35">
      <c r="A513" s="34"/>
      <c r="B513" s="35"/>
      <c r="C513" s="34"/>
      <c r="D513" s="34"/>
      <c r="E513" s="34"/>
      <c r="F513" s="46"/>
      <c r="G513" s="46"/>
      <c r="H513" s="14" t="str">
        <f>IF(Assessment_Sheet[[#This Row],[NAME ]]="","",ROUND((G513/60*40),0))</f>
        <v/>
      </c>
      <c r="I513" s="15" t="str">
        <f t="shared" si="8"/>
        <v/>
      </c>
      <c r="J513" s="16" t="str">
        <f>IF(B513="","",IF(OR(F513="",G513=""),"IC",VLOOKUP(I513,Scale[],2,1)))</f>
        <v/>
      </c>
    </row>
    <row r="514" spans="1:10" x14ac:dyDescent="0.35">
      <c r="A514" s="34"/>
      <c r="B514" s="35"/>
      <c r="C514" s="34"/>
      <c r="D514" s="34"/>
      <c r="E514" s="34"/>
      <c r="F514" s="46"/>
      <c r="G514" s="46"/>
      <c r="H514" s="14" t="str">
        <f>IF(Assessment_Sheet[[#This Row],[NAME ]]="","",ROUND((G514/60*40),0))</f>
        <v/>
      </c>
      <c r="I514" s="15" t="str">
        <f t="shared" si="8"/>
        <v/>
      </c>
      <c r="J514" s="16" t="str">
        <f>IF(B514="","",IF(OR(F514="",G514=""),"IC",VLOOKUP(I514,Scale[],2,1)))</f>
        <v/>
      </c>
    </row>
    <row r="515" spans="1:10" x14ac:dyDescent="0.35">
      <c r="A515" s="34"/>
      <c r="B515" s="35"/>
      <c r="C515" s="34"/>
      <c r="D515" s="34"/>
      <c r="E515" s="34"/>
      <c r="F515" s="46"/>
      <c r="G515" s="46"/>
      <c r="H515" s="14" t="str">
        <f>IF(Assessment_Sheet[[#This Row],[NAME ]]="","",ROUND((G515/60*40),0))</f>
        <v/>
      </c>
      <c r="I515" s="15" t="str">
        <f t="shared" si="8"/>
        <v/>
      </c>
      <c r="J515" s="16" t="str">
        <f>IF(B515="","",IF(OR(F515="",G515=""),"IC",VLOOKUP(I515,Scale[],2,1)))</f>
        <v/>
      </c>
    </row>
    <row r="516" spans="1:10" x14ac:dyDescent="0.35">
      <c r="A516" s="34"/>
      <c r="B516" s="35"/>
      <c r="C516" s="34"/>
      <c r="D516" s="34"/>
      <c r="E516" s="34"/>
      <c r="F516" s="46"/>
      <c r="G516" s="46"/>
      <c r="H516" s="14" t="str">
        <f>IF(Assessment_Sheet[[#This Row],[NAME ]]="","",ROUND((G516/60*40),0))</f>
        <v/>
      </c>
      <c r="I516" s="15" t="str">
        <f t="shared" si="8"/>
        <v/>
      </c>
      <c r="J516" s="16" t="str">
        <f>IF(B516="","",IF(OR(F516="",G516=""),"IC",VLOOKUP(I516,Scale[],2,1)))</f>
        <v/>
      </c>
    </row>
    <row r="517" spans="1:10" x14ac:dyDescent="0.35">
      <c r="A517" s="34"/>
      <c r="B517" s="35"/>
      <c r="C517" s="34"/>
      <c r="D517" s="34"/>
      <c r="E517" s="34"/>
      <c r="F517" s="46"/>
      <c r="G517" s="46"/>
      <c r="H517" s="14" t="str">
        <f>IF(Assessment_Sheet[[#This Row],[NAME ]]="","",ROUND((G517/60*40),0))</f>
        <v/>
      </c>
      <c r="I517" s="15" t="str">
        <f t="shared" si="8"/>
        <v/>
      </c>
      <c r="J517" s="16" t="str">
        <f>IF(B517="","",IF(OR(F517="",G517=""),"IC",VLOOKUP(I517,Scale[],2,1)))</f>
        <v/>
      </c>
    </row>
    <row r="518" spans="1:10" x14ac:dyDescent="0.35">
      <c r="A518" s="34"/>
      <c r="B518" s="35"/>
      <c r="C518" s="34"/>
      <c r="D518" s="34"/>
      <c r="E518" s="34"/>
      <c r="F518" s="46"/>
      <c r="G518" s="46"/>
      <c r="H518" s="14" t="str">
        <f>IF(Assessment_Sheet[[#This Row],[NAME ]]="","",ROUND((G518/60*40),0))</f>
        <v/>
      </c>
      <c r="I518" s="15" t="str">
        <f t="shared" si="8"/>
        <v/>
      </c>
      <c r="J518" s="16" t="str">
        <f>IF(B518="","",IF(OR(F518="",G518=""),"IC",VLOOKUP(I518,Scale[],2,1)))</f>
        <v/>
      </c>
    </row>
    <row r="519" spans="1:10" x14ac:dyDescent="0.35">
      <c r="A519" s="34"/>
      <c r="B519" s="35"/>
      <c r="C519" s="34"/>
      <c r="D519" s="34"/>
      <c r="E519" s="34"/>
      <c r="F519" s="46"/>
      <c r="G519" s="46"/>
      <c r="H519" s="14" t="str">
        <f>IF(Assessment_Sheet[[#This Row],[NAME ]]="","",ROUND((G519/60*40),0))</f>
        <v/>
      </c>
      <c r="I519" s="15" t="str">
        <f t="shared" si="8"/>
        <v/>
      </c>
      <c r="J519" s="16" t="str">
        <f>IF(B519="","",IF(OR(F519="",G519=""),"IC",VLOOKUP(I519,Scale[],2,1)))</f>
        <v/>
      </c>
    </row>
    <row r="520" spans="1:10" x14ac:dyDescent="0.35">
      <c r="A520" s="34"/>
      <c r="B520" s="35"/>
      <c r="C520" s="34"/>
      <c r="D520" s="34"/>
      <c r="E520" s="34"/>
      <c r="F520" s="46"/>
      <c r="G520" s="46"/>
      <c r="H520" s="14" t="str">
        <f>IF(Assessment_Sheet[[#This Row],[NAME ]]="","",ROUND((G520/60*40),0))</f>
        <v/>
      </c>
      <c r="I520" s="15" t="str">
        <f t="shared" ref="I520:I583" si="9">IFERROR(ROUND((F520+H520),0),"")</f>
        <v/>
      </c>
      <c r="J520" s="16" t="str">
        <f>IF(B520="","",IF(OR(F520="",G520=""),"IC",VLOOKUP(I520,Scale[],2,1)))</f>
        <v/>
      </c>
    </row>
    <row r="521" spans="1:10" x14ac:dyDescent="0.35">
      <c r="A521" s="34"/>
      <c r="B521" s="35"/>
      <c r="C521" s="34"/>
      <c r="D521" s="34"/>
      <c r="E521" s="34"/>
      <c r="F521" s="46"/>
      <c r="G521" s="46"/>
      <c r="H521" s="14" t="str">
        <f>IF(Assessment_Sheet[[#This Row],[NAME ]]="","",ROUND((G521/60*40),0))</f>
        <v/>
      </c>
      <c r="I521" s="15" t="str">
        <f t="shared" si="9"/>
        <v/>
      </c>
      <c r="J521" s="16" t="str">
        <f>IF(B521="","",IF(OR(F521="",G521=""),"IC",VLOOKUP(I521,Scale[],2,1)))</f>
        <v/>
      </c>
    </row>
    <row r="522" spans="1:10" x14ac:dyDescent="0.35">
      <c r="A522" s="34"/>
      <c r="B522" s="35"/>
      <c r="C522" s="34"/>
      <c r="D522" s="34"/>
      <c r="E522" s="34"/>
      <c r="F522" s="46"/>
      <c r="G522" s="46"/>
      <c r="H522" s="14" t="str">
        <f>IF(Assessment_Sheet[[#This Row],[NAME ]]="","",ROUND((G522/60*40),0))</f>
        <v/>
      </c>
      <c r="I522" s="15" t="str">
        <f t="shared" si="9"/>
        <v/>
      </c>
      <c r="J522" s="16" t="str">
        <f>IF(B522="","",IF(OR(F522="",G522=""),"IC",VLOOKUP(I522,Scale[],2,1)))</f>
        <v/>
      </c>
    </row>
    <row r="523" spans="1:10" x14ac:dyDescent="0.35">
      <c r="A523" s="34"/>
      <c r="B523" s="35"/>
      <c r="C523" s="34"/>
      <c r="D523" s="34"/>
      <c r="E523" s="34"/>
      <c r="F523" s="46"/>
      <c r="G523" s="46"/>
      <c r="H523" s="14" t="str">
        <f>IF(Assessment_Sheet[[#This Row],[NAME ]]="","",ROUND((G523/60*40),0))</f>
        <v/>
      </c>
      <c r="I523" s="15" t="str">
        <f t="shared" si="9"/>
        <v/>
      </c>
      <c r="J523" s="16" t="str">
        <f>IF(B523="","",IF(OR(F523="",G523=""),"IC",VLOOKUP(I523,Scale[],2,1)))</f>
        <v/>
      </c>
    </row>
    <row r="524" spans="1:10" x14ac:dyDescent="0.35">
      <c r="A524" s="34"/>
      <c r="B524" s="35"/>
      <c r="C524" s="34"/>
      <c r="D524" s="34"/>
      <c r="E524" s="34"/>
      <c r="F524" s="46"/>
      <c r="G524" s="46"/>
      <c r="H524" s="14" t="str">
        <f>IF(Assessment_Sheet[[#This Row],[NAME ]]="","",ROUND((G524/60*40),0))</f>
        <v/>
      </c>
      <c r="I524" s="15" t="str">
        <f t="shared" si="9"/>
        <v/>
      </c>
      <c r="J524" s="16" t="str">
        <f>IF(B524="","",IF(OR(F524="",G524=""),"IC",VLOOKUP(I524,Scale[],2,1)))</f>
        <v/>
      </c>
    </row>
    <row r="525" spans="1:10" x14ac:dyDescent="0.35">
      <c r="A525" s="34"/>
      <c r="B525" s="35"/>
      <c r="C525" s="34"/>
      <c r="D525" s="34"/>
      <c r="E525" s="34"/>
      <c r="F525" s="46"/>
      <c r="G525" s="46"/>
      <c r="H525" s="14" t="str">
        <f>IF(Assessment_Sheet[[#This Row],[NAME ]]="","",ROUND((G525/60*40),0))</f>
        <v/>
      </c>
      <c r="I525" s="15" t="str">
        <f t="shared" si="9"/>
        <v/>
      </c>
      <c r="J525" s="16" t="str">
        <f>IF(B525="","",IF(OR(F525="",G525=""),"IC",VLOOKUP(I525,Scale[],2,1)))</f>
        <v/>
      </c>
    </row>
    <row r="526" spans="1:10" x14ac:dyDescent="0.35">
      <c r="A526" s="34"/>
      <c r="B526" s="35"/>
      <c r="C526" s="34"/>
      <c r="D526" s="34"/>
      <c r="E526" s="34"/>
      <c r="F526" s="46"/>
      <c r="G526" s="46"/>
      <c r="H526" s="14" t="str">
        <f>IF(Assessment_Sheet[[#This Row],[NAME ]]="","",ROUND((G526/60*40),0))</f>
        <v/>
      </c>
      <c r="I526" s="15" t="str">
        <f t="shared" si="9"/>
        <v/>
      </c>
      <c r="J526" s="16" t="str">
        <f>IF(B526="","",IF(OR(F526="",G526=""),"IC",VLOOKUP(I526,Scale[],2,1)))</f>
        <v/>
      </c>
    </row>
    <row r="527" spans="1:10" x14ac:dyDescent="0.35">
      <c r="A527" s="34"/>
      <c r="B527" s="35"/>
      <c r="C527" s="34"/>
      <c r="D527" s="34"/>
      <c r="E527" s="34"/>
      <c r="F527" s="46"/>
      <c r="G527" s="46"/>
      <c r="H527" s="14" t="str">
        <f>IF(Assessment_Sheet[[#This Row],[NAME ]]="","",ROUND((G527/60*40),0))</f>
        <v/>
      </c>
      <c r="I527" s="15" t="str">
        <f t="shared" si="9"/>
        <v/>
      </c>
      <c r="J527" s="16" t="str">
        <f>IF(B527="","",IF(OR(F527="",G527=""),"IC",VLOOKUP(I527,Scale[],2,1)))</f>
        <v/>
      </c>
    </row>
    <row r="528" spans="1:10" x14ac:dyDescent="0.35">
      <c r="A528" s="34"/>
      <c r="B528" s="35"/>
      <c r="C528" s="34"/>
      <c r="D528" s="34"/>
      <c r="E528" s="34"/>
      <c r="F528" s="46"/>
      <c r="G528" s="46"/>
      <c r="H528" s="14" t="str">
        <f>IF(Assessment_Sheet[[#This Row],[NAME ]]="","",ROUND((G528/60*40),0))</f>
        <v/>
      </c>
      <c r="I528" s="15" t="str">
        <f t="shared" si="9"/>
        <v/>
      </c>
      <c r="J528" s="16" t="str">
        <f>IF(B528="","",IF(OR(F528="",G528=""),"IC",VLOOKUP(I528,Scale[],2,1)))</f>
        <v/>
      </c>
    </row>
    <row r="529" spans="1:10" x14ac:dyDescent="0.35">
      <c r="A529" s="34"/>
      <c r="B529" s="35"/>
      <c r="C529" s="34"/>
      <c r="D529" s="34"/>
      <c r="E529" s="34"/>
      <c r="F529" s="46"/>
      <c r="G529" s="46"/>
      <c r="H529" s="14" t="str">
        <f>IF(Assessment_Sheet[[#This Row],[NAME ]]="","",ROUND((G529/60*40),0))</f>
        <v/>
      </c>
      <c r="I529" s="15" t="str">
        <f t="shared" si="9"/>
        <v/>
      </c>
      <c r="J529" s="16" t="str">
        <f>IF(B529="","",IF(OR(F529="",G529=""),"IC",VLOOKUP(I529,Scale[],2,1)))</f>
        <v/>
      </c>
    </row>
    <row r="530" spans="1:10" x14ac:dyDescent="0.35">
      <c r="A530" s="34"/>
      <c r="B530" s="35"/>
      <c r="C530" s="34"/>
      <c r="D530" s="34"/>
      <c r="E530" s="34"/>
      <c r="F530" s="46"/>
      <c r="G530" s="46"/>
      <c r="H530" s="14" t="str">
        <f>IF(Assessment_Sheet[[#This Row],[NAME ]]="","",ROUND((G530/60*40),0))</f>
        <v/>
      </c>
      <c r="I530" s="15" t="str">
        <f t="shared" si="9"/>
        <v/>
      </c>
      <c r="J530" s="16" t="str">
        <f>IF(B530="","",IF(OR(F530="",G530=""),"IC",VLOOKUP(I530,Scale[],2,1)))</f>
        <v/>
      </c>
    </row>
    <row r="531" spans="1:10" x14ac:dyDescent="0.35">
      <c r="A531" s="34"/>
      <c r="B531" s="35"/>
      <c r="C531" s="34"/>
      <c r="D531" s="34"/>
      <c r="E531" s="34"/>
      <c r="F531" s="46"/>
      <c r="G531" s="46"/>
      <c r="H531" s="14" t="str">
        <f>IF(Assessment_Sheet[[#This Row],[NAME ]]="","",ROUND((G531/60*40),0))</f>
        <v/>
      </c>
      <c r="I531" s="15" t="str">
        <f t="shared" si="9"/>
        <v/>
      </c>
      <c r="J531" s="16" t="str">
        <f>IF(B531="","",IF(OR(F531="",G531=""),"IC",VLOOKUP(I531,Scale[],2,1)))</f>
        <v/>
      </c>
    </row>
    <row r="532" spans="1:10" x14ac:dyDescent="0.35">
      <c r="A532" s="34"/>
      <c r="B532" s="35"/>
      <c r="C532" s="34"/>
      <c r="D532" s="34"/>
      <c r="E532" s="34"/>
      <c r="F532" s="46"/>
      <c r="G532" s="46"/>
      <c r="H532" s="14" t="str">
        <f>IF(Assessment_Sheet[[#This Row],[NAME ]]="","",ROUND((G532/60*40),0))</f>
        <v/>
      </c>
      <c r="I532" s="15" t="str">
        <f t="shared" si="9"/>
        <v/>
      </c>
      <c r="J532" s="16" t="str">
        <f>IF(B532="","",IF(OR(F532="",G532=""),"IC",VLOOKUP(I532,Scale[],2,1)))</f>
        <v/>
      </c>
    </row>
    <row r="533" spans="1:10" x14ac:dyDescent="0.35">
      <c r="A533" s="34"/>
      <c r="B533" s="35"/>
      <c r="C533" s="34"/>
      <c r="D533" s="34"/>
      <c r="E533" s="34"/>
      <c r="F533" s="46"/>
      <c r="G533" s="46"/>
      <c r="H533" s="14" t="str">
        <f>IF(Assessment_Sheet[[#This Row],[NAME ]]="","",ROUND((G533/60*40),0))</f>
        <v/>
      </c>
      <c r="I533" s="15" t="str">
        <f t="shared" si="9"/>
        <v/>
      </c>
      <c r="J533" s="16" t="str">
        <f>IF(B533="","",IF(OR(F533="",G533=""),"IC",VLOOKUP(I533,Scale[],2,1)))</f>
        <v/>
      </c>
    </row>
    <row r="534" spans="1:10" x14ac:dyDescent="0.35">
      <c r="A534" s="34"/>
      <c r="B534" s="35"/>
      <c r="C534" s="34"/>
      <c r="D534" s="34"/>
      <c r="E534" s="34"/>
      <c r="F534" s="46"/>
      <c r="G534" s="46"/>
      <c r="H534" s="14" t="str">
        <f>IF(Assessment_Sheet[[#This Row],[NAME ]]="","",ROUND((G534/60*40),0))</f>
        <v/>
      </c>
      <c r="I534" s="15" t="str">
        <f t="shared" si="9"/>
        <v/>
      </c>
      <c r="J534" s="16" t="str">
        <f>IF(B534="","",IF(OR(F534="",G534=""),"IC",VLOOKUP(I534,Scale[],2,1)))</f>
        <v/>
      </c>
    </row>
    <row r="535" spans="1:10" x14ac:dyDescent="0.35">
      <c r="A535" s="34"/>
      <c r="B535" s="35"/>
      <c r="C535" s="34"/>
      <c r="D535" s="34"/>
      <c r="E535" s="34"/>
      <c r="F535" s="46"/>
      <c r="G535" s="46"/>
      <c r="H535" s="14" t="str">
        <f>IF(Assessment_Sheet[[#This Row],[NAME ]]="","",ROUND((G535/60*40),0))</f>
        <v/>
      </c>
      <c r="I535" s="15" t="str">
        <f t="shared" si="9"/>
        <v/>
      </c>
      <c r="J535" s="16" t="str">
        <f>IF(B535="","",IF(OR(F535="",G535=""),"IC",VLOOKUP(I535,Scale[],2,1)))</f>
        <v/>
      </c>
    </row>
    <row r="536" spans="1:10" x14ac:dyDescent="0.35">
      <c r="A536" s="34"/>
      <c r="B536" s="35"/>
      <c r="C536" s="34"/>
      <c r="D536" s="34"/>
      <c r="E536" s="34"/>
      <c r="F536" s="46"/>
      <c r="G536" s="46"/>
      <c r="H536" s="14" t="str">
        <f>IF(Assessment_Sheet[[#This Row],[NAME ]]="","",ROUND((G536/60*40),0))</f>
        <v/>
      </c>
      <c r="I536" s="15" t="str">
        <f t="shared" si="9"/>
        <v/>
      </c>
      <c r="J536" s="16" t="str">
        <f>IF(B536="","",IF(OR(F536="",G536=""),"IC",VLOOKUP(I536,Scale[],2,1)))</f>
        <v/>
      </c>
    </row>
    <row r="537" spans="1:10" x14ac:dyDescent="0.35">
      <c r="A537" s="34"/>
      <c r="B537" s="35"/>
      <c r="C537" s="34"/>
      <c r="D537" s="34"/>
      <c r="E537" s="34"/>
      <c r="F537" s="46"/>
      <c r="G537" s="46"/>
      <c r="H537" s="14" t="str">
        <f>IF(Assessment_Sheet[[#This Row],[NAME ]]="","",ROUND((G537/60*40),0))</f>
        <v/>
      </c>
      <c r="I537" s="15" t="str">
        <f t="shared" si="9"/>
        <v/>
      </c>
      <c r="J537" s="16" t="str">
        <f>IF(B537="","",IF(OR(F537="",G537=""),"IC",VLOOKUP(I537,Scale[],2,1)))</f>
        <v/>
      </c>
    </row>
    <row r="538" spans="1:10" x14ac:dyDescent="0.35">
      <c r="A538" s="34"/>
      <c r="B538" s="35"/>
      <c r="C538" s="34"/>
      <c r="D538" s="34"/>
      <c r="E538" s="34"/>
      <c r="F538" s="46"/>
      <c r="G538" s="46"/>
      <c r="H538" s="14" t="str">
        <f>IF(Assessment_Sheet[[#This Row],[NAME ]]="","",ROUND((G538/60*40),0))</f>
        <v/>
      </c>
      <c r="I538" s="15" t="str">
        <f t="shared" si="9"/>
        <v/>
      </c>
      <c r="J538" s="16" t="str">
        <f>IF(B538="","",IF(OR(F538="",G538=""),"IC",VLOOKUP(I538,Scale[],2,1)))</f>
        <v/>
      </c>
    </row>
    <row r="539" spans="1:10" x14ac:dyDescent="0.35">
      <c r="A539" s="34"/>
      <c r="B539" s="35"/>
      <c r="C539" s="34"/>
      <c r="D539" s="34"/>
      <c r="E539" s="34"/>
      <c r="F539" s="46"/>
      <c r="G539" s="46"/>
      <c r="H539" s="14" t="str">
        <f>IF(Assessment_Sheet[[#This Row],[NAME ]]="","",ROUND((G539/60*40),0))</f>
        <v/>
      </c>
      <c r="I539" s="15" t="str">
        <f t="shared" si="9"/>
        <v/>
      </c>
      <c r="J539" s="16" t="str">
        <f>IF(B539="","",IF(OR(F539="",G539=""),"IC",VLOOKUP(I539,Scale[],2,1)))</f>
        <v/>
      </c>
    </row>
    <row r="540" spans="1:10" x14ac:dyDescent="0.35">
      <c r="A540" s="34"/>
      <c r="B540" s="35"/>
      <c r="C540" s="34"/>
      <c r="D540" s="34"/>
      <c r="E540" s="34"/>
      <c r="F540" s="46"/>
      <c r="G540" s="46"/>
      <c r="H540" s="14" t="str">
        <f>IF(Assessment_Sheet[[#This Row],[NAME ]]="","",ROUND((G540/60*40),0))</f>
        <v/>
      </c>
      <c r="I540" s="15" t="str">
        <f t="shared" si="9"/>
        <v/>
      </c>
      <c r="J540" s="16" t="str">
        <f>IF(B540="","",IF(OR(F540="",G540=""),"IC",VLOOKUP(I540,Scale[],2,1)))</f>
        <v/>
      </c>
    </row>
    <row r="541" spans="1:10" x14ac:dyDescent="0.35">
      <c r="A541" s="34"/>
      <c r="B541" s="35"/>
      <c r="C541" s="34"/>
      <c r="D541" s="34"/>
      <c r="E541" s="34"/>
      <c r="F541" s="46"/>
      <c r="G541" s="46"/>
      <c r="H541" s="14" t="str">
        <f>IF(Assessment_Sheet[[#This Row],[NAME ]]="","",ROUND((G541/60*40),0))</f>
        <v/>
      </c>
      <c r="I541" s="15" t="str">
        <f t="shared" si="9"/>
        <v/>
      </c>
      <c r="J541" s="16" t="str">
        <f>IF(B541="","",IF(OR(F541="",G541=""),"IC",VLOOKUP(I541,Scale[],2,1)))</f>
        <v/>
      </c>
    </row>
    <row r="542" spans="1:10" x14ac:dyDescent="0.35">
      <c r="A542" s="34"/>
      <c r="B542" s="35"/>
      <c r="C542" s="34"/>
      <c r="D542" s="34"/>
      <c r="E542" s="34"/>
      <c r="F542" s="46"/>
      <c r="G542" s="46"/>
      <c r="H542" s="14" t="str">
        <f>IF(Assessment_Sheet[[#This Row],[NAME ]]="","",ROUND((G542/60*40),0))</f>
        <v/>
      </c>
      <c r="I542" s="15" t="str">
        <f t="shared" si="9"/>
        <v/>
      </c>
      <c r="J542" s="16" t="str">
        <f>IF(B542="","",IF(OR(F542="",G542=""),"IC",VLOOKUP(I542,Scale[],2,1)))</f>
        <v/>
      </c>
    </row>
    <row r="543" spans="1:10" x14ac:dyDescent="0.35">
      <c r="A543" s="34"/>
      <c r="B543" s="35"/>
      <c r="C543" s="34"/>
      <c r="D543" s="34"/>
      <c r="E543" s="34"/>
      <c r="F543" s="46"/>
      <c r="G543" s="46"/>
      <c r="H543" s="14" t="str">
        <f>IF(Assessment_Sheet[[#This Row],[NAME ]]="","",ROUND((G543/60*40),0))</f>
        <v/>
      </c>
      <c r="I543" s="15" t="str">
        <f t="shared" si="9"/>
        <v/>
      </c>
      <c r="J543" s="16" t="str">
        <f>IF(B543="","",IF(OR(F543="",G543=""),"IC",VLOOKUP(I543,Scale[],2,1)))</f>
        <v/>
      </c>
    </row>
    <row r="544" spans="1:10" x14ac:dyDescent="0.35">
      <c r="A544" s="34"/>
      <c r="B544" s="35"/>
      <c r="C544" s="34"/>
      <c r="D544" s="34"/>
      <c r="E544" s="34"/>
      <c r="F544" s="46"/>
      <c r="G544" s="46"/>
      <c r="H544" s="14" t="str">
        <f>IF(Assessment_Sheet[[#This Row],[NAME ]]="","",ROUND((G544/60*40),0))</f>
        <v/>
      </c>
      <c r="I544" s="15" t="str">
        <f t="shared" si="9"/>
        <v/>
      </c>
      <c r="J544" s="16" t="str">
        <f>IF(B544="","",IF(OR(F544="",G544=""),"IC",VLOOKUP(I544,Scale[],2,1)))</f>
        <v/>
      </c>
    </row>
    <row r="545" spans="1:10" x14ac:dyDescent="0.35">
      <c r="A545" s="34"/>
      <c r="B545" s="35"/>
      <c r="C545" s="34"/>
      <c r="D545" s="34"/>
      <c r="E545" s="34"/>
      <c r="F545" s="46"/>
      <c r="G545" s="46"/>
      <c r="H545" s="14" t="str">
        <f>IF(Assessment_Sheet[[#This Row],[NAME ]]="","",ROUND((G545/60*40),0))</f>
        <v/>
      </c>
      <c r="I545" s="15" t="str">
        <f t="shared" si="9"/>
        <v/>
      </c>
      <c r="J545" s="16" t="str">
        <f>IF(B545="","",IF(OR(F545="",G545=""),"IC",VLOOKUP(I545,Scale[],2,1)))</f>
        <v/>
      </c>
    </row>
    <row r="546" spans="1:10" x14ac:dyDescent="0.35">
      <c r="A546" s="34"/>
      <c r="B546" s="35"/>
      <c r="C546" s="34"/>
      <c r="D546" s="34"/>
      <c r="E546" s="34"/>
      <c r="F546" s="46"/>
      <c r="G546" s="46"/>
      <c r="H546" s="14" t="str">
        <f>IF(Assessment_Sheet[[#This Row],[NAME ]]="","",ROUND((G546/60*40),0))</f>
        <v/>
      </c>
      <c r="I546" s="15" t="str">
        <f t="shared" si="9"/>
        <v/>
      </c>
      <c r="J546" s="16" t="str">
        <f>IF(B546="","",IF(OR(F546="",G546=""),"IC",VLOOKUP(I546,Scale[],2,1)))</f>
        <v/>
      </c>
    </row>
    <row r="547" spans="1:10" x14ac:dyDescent="0.35">
      <c r="A547" s="34"/>
      <c r="B547" s="35"/>
      <c r="C547" s="34"/>
      <c r="D547" s="34"/>
      <c r="E547" s="34"/>
      <c r="F547" s="46"/>
      <c r="G547" s="46"/>
      <c r="H547" s="14" t="str">
        <f>IF(Assessment_Sheet[[#This Row],[NAME ]]="","",ROUND((G547/60*40),0))</f>
        <v/>
      </c>
      <c r="I547" s="15" t="str">
        <f t="shared" si="9"/>
        <v/>
      </c>
      <c r="J547" s="16" t="str">
        <f>IF(B547="","",IF(OR(F547="",G547=""),"IC",VLOOKUP(I547,Scale[],2,1)))</f>
        <v/>
      </c>
    </row>
    <row r="548" spans="1:10" x14ac:dyDescent="0.35">
      <c r="A548" s="34"/>
      <c r="B548" s="35"/>
      <c r="C548" s="34"/>
      <c r="D548" s="34"/>
      <c r="E548" s="34"/>
      <c r="F548" s="46"/>
      <c r="G548" s="46"/>
      <c r="H548" s="14" t="str">
        <f>IF(Assessment_Sheet[[#This Row],[NAME ]]="","",ROUND((G548/60*40),0))</f>
        <v/>
      </c>
      <c r="I548" s="15" t="str">
        <f t="shared" si="9"/>
        <v/>
      </c>
      <c r="J548" s="16" t="str">
        <f>IF(B548="","",IF(OR(F548="",G548=""),"IC",VLOOKUP(I548,Scale[],2,1)))</f>
        <v/>
      </c>
    </row>
    <row r="549" spans="1:10" x14ac:dyDescent="0.35">
      <c r="A549" s="34"/>
      <c r="B549" s="35"/>
      <c r="C549" s="34"/>
      <c r="D549" s="34"/>
      <c r="E549" s="34"/>
      <c r="F549" s="46"/>
      <c r="G549" s="46"/>
      <c r="H549" s="14" t="str">
        <f>IF(Assessment_Sheet[[#This Row],[NAME ]]="","",ROUND((G549/60*40),0))</f>
        <v/>
      </c>
      <c r="I549" s="15" t="str">
        <f t="shared" si="9"/>
        <v/>
      </c>
      <c r="J549" s="16" t="str">
        <f>IF(B549="","",IF(OR(F549="",G549=""),"IC",VLOOKUP(I549,Scale[],2,1)))</f>
        <v/>
      </c>
    </row>
    <row r="550" spans="1:10" x14ac:dyDescent="0.35">
      <c r="A550" s="34"/>
      <c r="B550" s="35"/>
      <c r="C550" s="34"/>
      <c r="D550" s="34"/>
      <c r="E550" s="34"/>
      <c r="F550" s="46"/>
      <c r="G550" s="46"/>
      <c r="H550" s="14" t="str">
        <f>IF(Assessment_Sheet[[#This Row],[NAME ]]="","",ROUND((G550/60*40),0))</f>
        <v/>
      </c>
      <c r="I550" s="15" t="str">
        <f t="shared" si="9"/>
        <v/>
      </c>
      <c r="J550" s="16" t="str">
        <f>IF(B550="","",IF(OR(F550="",G550=""),"IC",VLOOKUP(I550,Scale[],2,1)))</f>
        <v/>
      </c>
    </row>
    <row r="551" spans="1:10" x14ac:dyDescent="0.35">
      <c r="A551" s="34"/>
      <c r="B551" s="35"/>
      <c r="C551" s="34"/>
      <c r="D551" s="34"/>
      <c r="E551" s="34"/>
      <c r="F551" s="46"/>
      <c r="G551" s="46"/>
      <c r="H551" s="14" t="str">
        <f>IF(Assessment_Sheet[[#This Row],[NAME ]]="","",ROUND((G551/60*40),0))</f>
        <v/>
      </c>
      <c r="I551" s="15" t="str">
        <f t="shared" si="9"/>
        <v/>
      </c>
      <c r="J551" s="16" t="str">
        <f>IF(B551="","",IF(OR(F551="",G551=""),"IC",VLOOKUP(I551,Scale[],2,1)))</f>
        <v/>
      </c>
    </row>
    <row r="552" spans="1:10" x14ac:dyDescent="0.35">
      <c r="A552" s="34"/>
      <c r="B552" s="35"/>
      <c r="C552" s="34"/>
      <c r="D552" s="34"/>
      <c r="E552" s="34"/>
      <c r="F552" s="46"/>
      <c r="G552" s="46"/>
      <c r="H552" s="14" t="str">
        <f>IF(Assessment_Sheet[[#This Row],[NAME ]]="","",ROUND((G552/60*40),0))</f>
        <v/>
      </c>
      <c r="I552" s="15" t="str">
        <f t="shared" si="9"/>
        <v/>
      </c>
      <c r="J552" s="16" t="str">
        <f>IF(B552="","",IF(OR(F552="",G552=""),"IC",VLOOKUP(I552,Scale[],2,1)))</f>
        <v/>
      </c>
    </row>
    <row r="553" spans="1:10" x14ac:dyDescent="0.35">
      <c r="A553" s="34"/>
      <c r="B553" s="35"/>
      <c r="C553" s="34"/>
      <c r="D553" s="34"/>
      <c r="E553" s="34"/>
      <c r="F553" s="46"/>
      <c r="G553" s="46"/>
      <c r="H553" s="14" t="str">
        <f>IF(Assessment_Sheet[[#This Row],[NAME ]]="","",ROUND((G553/60*40),0))</f>
        <v/>
      </c>
      <c r="I553" s="15" t="str">
        <f t="shared" si="9"/>
        <v/>
      </c>
      <c r="J553" s="16" t="str">
        <f>IF(B553="","",IF(OR(F553="",G553=""),"IC",VLOOKUP(I553,Scale[],2,1)))</f>
        <v/>
      </c>
    </row>
    <row r="554" spans="1:10" x14ac:dyDescent="0.35">
      <c r="A554" s="34"/>
      <c r="B554" s="35"/>
      <c r="C554" s="34"/>
      <c r="D554" s="34"/>
      <c r="E554" s="34"/>
      <c r="F554" s="46"/>
      <c r="G554" s="46"/>
      <c r="H554" s="14" t="str">
        <f>IF(Assessment_Sheet[[#This Row],[NAME ]]="","",ROUND((G554/60*40),0))</f>
        <v/>
      </c>
      <c r="I554" s="15" t="str">
        <f t="shared" si="9"/>
        <v/>
      </c>
      <c r="J554" s="16" t="str">
        <f>IF(B554="","",IF(OR(F554="",G554=""),"IC",VLOOKUP(I554,Scale[],2,1)))</f>
        <v/>
      </c>
    </row>
    <row r="555" spans="1:10" x14ac:dyDescent="0.35">
      <c r="A555" s="34"/>
      <c r="B555" s="35"/>
      <c r="C555" s="34"/>
      <c r="D555" s="34"/>
      <c r="E555" s="34"/>
      <c r="F555" s="46"/>
      <c r="G555" s="46"/>
      <c r="H555" s="14" t="str">
        <f>IF(Assessment_Sheet[[#This Row],[NAME ]]="","",ROUND((G555/60*40),0))</f>
        <v/>
      </c>
      <c r="I555" s="15" t="str">
        <f t="shared" si="9"/>
        <v/>
      </c>
      <c r="J555" s="16" t="str">
        <f>IF(B555="","",IF(OR(F555="",G555=""),"IC",VLOOKUP(I555,Scale[],2,1)))</f>
        <v/>
      </c>
    </row>
    <row r="556" spans="1:10" x14ac:dyDescent="0.35">
      <c r="A556" s="34"/>
      <c r="B556" s="35"/>
      <c r="C556" s="34"/>
      <c r="D556" s="34"/>
      <c r="E556" s="34"/>
      <c r="F556" s="46"/>
      <c r="G556" s="46"/>
      <c r="H556" s="14" t="str">
        <f>IF(Assessment_Sheet[[#This Row],[NAME ]]="","",ROUND((G556/60*40),0))</f>
        <v/>
      </c>
      <c r="I556" s="15" t="str">
        <f t="shared" si="9"/>
        <v/>
      </c>
      <c r="J556" s="16" t="str">
        <f>IF(B556="","",IF(OR(F556="",G556=""),"IC",VLOOKUP(I556,Scale[],2,1)))</f>
        <v/>
      </c>
    </row>
    <row r="557" spans="1:10" x14ac:dyDescent="0.35">
      <c r="A557" s="34"/>
      <c r="B557" s="35"/>
      <c r="C557" s="34"/>
      <c r="D557" s="34"/>
      <c r="E557" s="34"/>
      <c r="F557" s="46"/>
      <c r="G557" s="46"/>
      <c r="H557" s="14" t="str">
        <f>IF(Assessment_Sheet[[#This Row],[NAME ]]="","",ROUND((G557/60*40),0))</f>
        <v/>
      </c>
      <c r="I557" s="15" t="str">
        <f t="shared" si="9"/>
        <v/>
      </c>
      <c r="J557" s="16" t="str">
        <f>IF(B557="","",IF(OR(F557="",G557=""),"IC",VLOOKUP(I557,Scale[],2,1)))</f>
        <v/>
      </c>
    </row>
    <row r="558" spans="1:10" x14ac:dyDescent="0.35">
      <c r="A558" s="34"/>
      <c r="B558" s="35"/>
      <c r="C558" s="34"/>
      <c r="D558" s="34"/>
      <c r="E558" s="34"/>
      <c r="F558" s="46"/>
      <c r="G558" s="46"/>
      <c r="H558" s="14" t="str">
        <f>IF(Assessment_Sheet[[#This Row],[NAME ]]="","",ROUND((G558/60*40),0))</f>
        <v/>
      </c>
      <c r="I558" s="15" t="str">
        <f t="shared" si="9"/>
        <v/>
      </c>
      <c r="J558" s="16" t="str">
        <f>IF(B558="","",IF(OR(F558="",G558=""),"IC",VLOOKUP(I558,Scale[],2,1)))</f>
        <v/>
      </c>
    </row>
    <row r="559" spans="1:10" x14ac:dyDescent="0.35">
      <c r="A559" s="34"/>
      <c r="B559" s="35"/>
      <c r="C559" s="34"/>
      <c r="D559" s="34"/>
      <c r="E559" s="34"/>
      <c r="F559" s="46"/>
      <c r="G559" s="46"/>
      <c r="H559" s="14" t="str">
        <f>IF(Assessment_Sheet[[#This Row],[NAME ]]="","",ROUND((G559/60*40),0))</f>
        <v/>
      </c>
      <c r="I559" s="15" t="str">
        <f t="shared" si="9"/>
        <v/>
      </c>
      <c r="J559" s="16" t="str">
        <f>IF(B559="","",IF(OR(F559="",G559=""),"IC",VLOOKUP(I559,Scale[],2,1)))</f>
        <v/>
      </c>
    </row>
    <row r="560" spans="1:10" x14ac:dyDescent="0.35">
      <c r="A560" s="34"/>
      <c r="B560" s="35"/>
      <c r="C560" s="34"/>
      <c r="D560" s="34"/>
      <c r="E560" s="34"/>
      <c r="F560" s="46"/>
      <c r="G560" s="46"/>
      <c r="H560" s="14" t="str">
        <f>IF(Assessment_Sheet[[#This Row],[NAME ]]="","",ROUND((G560/60*40),0))</f>
        <v/>
      </c>
      <c r="I560" s="15" t="str">
        <f t="shared" si="9"/>
        <v/>
      </c>
      <c r="J560" s="16" t="str">
        <f>IF(B560="","",IF(OR(F560="",G560=""),"IC",VLOOKUP(I560,Scale[],2,1)))</f>
        <v/>
      </c>
    </row>
    <row r="561" spans="1:10" x14ac:dyDescent="0.35">
      <c r="A561" s="34"/>
      <c r="B561" s="35"/>
      <c r="C561" s="34"/>
      <c r="D561" s="34"/>
      <c r="E561" s="34"/>
      <c r="F561" s="46"/>
      <c r="G561" s="46"/>
      <c r="H561" s="14" t="str">
        <f>IF(Assessment_Sheet[[#This Row],[NAME ]]="","",ROUND((G561/60*40),0))</f>
        <v/>
      </c>
      <c r="I561" s="15" t="str">
        <f t="shared" si="9"/>
        <v/>
      </c>
      <c r="J561" s="16" t="str">
        <f>IF(B561="","",IF(OR(F561="",G561=""),"IC",VLOOKUP(I561,Scale[],2,1)))</f>
        <v/>
      </c>
    </row>
    <row r="562" spans="1:10" x14ac:dyDescent="0.35">
      <c r="A562" s="34"/>
      <c r="B562" s="35"/>
      <c r="C562" s="34"/>
      <c r="D562" s="34"/>
      <c r="E562" s="34"/>
      <c r="F562" s="46"/>
      <c r="G562" s="46"/>
      <c r="H562" s="14" t="str">
        <f>IF(Assessment_Sheet[[#This Row],[NAME ]]="","",ROUND((G562/60*40),0))</f>
        <v/>
      </c>
      <c r="I562" s="15" t="str">
        <f t="shared" si="9"/>
        <v/>
      </c>
      <c r="J562" s="16" t="str">
        <f>IF(B562="","",IF(OR(F562="",G562=""),"IC",VLOOKUP(I562,Scale[],2,1)))</f>
        <v/>
      </c>
    </row>
    <row r="563" spans="1:10" x14ac:dyDescent="0.35">
      <c r="A563" s="34"/>
      <c r="B563" s="35"/>
      <c r="C563" s="34"/>
      <c r="D563" s="34"/>
      <c r="E563" s="34"/>
      <c r="F563" s="46"/>
      <c r="G563" s="46"/>
      <c r="H563" s="14" t="str">
        <f>IF(Assessment_Sheet[[#This Row],[NAME ]]="","",ROUND((G563/60*40),0))</f>
        <v/>
      </c>
      <c r="I563" s="15" t="str">
        <f t="shared" si="9"/>
        <v/>
      </c>
      <c r="J563" s="16" t="str">
        <f>IF(B563="","",IF(OR(F563="",G563=""),"IC",VLOOKUP(I563,Scale[],2,1)))</f>
        <v/>
      </c>
    </row>
    <row r="564" spans="1:10" x14ac:dyDescent="0.35">
      <c r="A564" s="34"/>
      <c r="B564" s="35"/>
      <c r="C564" s="34"/>
      <c r="D564" s="34"/>
      <c r="E564" s="34"/>
      <c r="F564" s="46"/>
      <c r="G564" s="46"/>
      <c r="H564" s="14" t="str">
        <f>IF(Assessment_Sheet[[#This Row],[NAME ]]="","",ROUND((G564/60*40),0))</f>
        <v/>
      </c>
      <c r="I564" s="15" t="str">
        <f t="shared" si="9"/>
        <v/>
      </c>
      <c r="J564" s="16" t="str">
        <f>IF(B564="","",IF(OR(F564="",G564=""),"IC",VLOOKUP(I564,Scale[],2,1)))</f>
        <v/>
      </c>
    </row>
    <row r="565" spans="1:10" x14ac:dyDescent="0.35">
      <c r="A565" s="34"/>
      <c r="B565" s="35"/>
      <c r="C565" s="34"/>
      <c r="D565" s="34"/>
      <c r="E565" s="34"/>
      <c r="F565" s="46"/>
      <c r="G565" s="46"/>
      <c r="H565" s="14" t="str">
        <f>IF(Assessment_Sheet[[#This Row],[NAME ]]="","",ROUND((G565/60*40),0))</f>
        <v/>
      </c>
      <c r="I565" s="15" t="str">
        <f t="shared" si="9"/>
        <v/>
      </c>
      <c r="J565" s="16" t="str">
        <f>IF(B565="","",IF(OR(F565="",G565=""),"IC",VLOOKUP(I565,Scale[],2,1)))</f>
        <v/>
      </c>
    </row>
    <row r="566" spans="1:10" x14ac:dyDescent="0.35">
      <c r="A566" s="34"/>
      <c r="B566" s="35"/>
      <c r="C566" s="34"/>
      <c r="D566" s="34"/>
      <c r="E566" s="34"/>
      <c r="F566" s="46"/>
      <c r="G566" s="46"/>
      <c r="H566" s="14" t="str">
        <f>IF(Assessment_Sheet[[#This Row],[NAME ]]="","",ROUND((G566/60*40),0))</f>
        <v/>
      </c>
      <c r="I566" s="15" t="str">
        <f t="shared" si="9"/>
        <v/>
      </c>
      <c r="J566" s="16" t="str">
        <f>IF(B566="","",IF(OR(F566="",G566=""),"IC",VLOOKUP(I566,Scale[],2,1)))</f>
        <v/>
      </c>
    </row>
    <row r="567" spans="1:10" x14ac:dyDescent="0.35">
      <c r="A567" s="34"/>
      <c r="B567" s="35"/>
      <c r="C567" s="34"/>
      <c r="D567" s="34"/>
      <c r="E567" s="34"/>
      <c r="F567" s="46"/>
      <c r="G567" s="46"/>
      <c r="H567" s="14" t="str">
        <f>IF(Assessment_Sheet[[#This Row],[NAME ]]="","",ROUND((G567/60*40),0))</f>
        <v/>
      </c>
      <c r="I567" s="15" t="str">
        <f t="shared" si="9"/>
        <v/>
      </c>
      <c r="J567" s="16" t="str">
        <f>IF(B567="","",IF(OR(F567="",G567=""),"IC",VLOOKUP(I567,Scale[],2,1)))</f>
        <v/>
      </c>
    </row>
    <row r="568" spans="1:10" x14ac:dyDescent="0.35">
      <c r="A568" s="34"/>
      <c r="B568" s="35"/>
      <c r="C568" s="34"/>
      <c r="D568" s="34"/>
      <c r="E568" s="34"/>
      <c r="F568" s="46"/>
      <c r="G568" s="46"/>
      <c r="H568" s="14" t="str">
        <f>IF(Assessment_Sheet[[#This Row],[NAME ]]="","",ROUND((G568/60*40),0))</f>
        <v/>
      </c>
      <c r="I568" s="15" t="str">
        <f t="shared" si="9"/>
        <v/>
      </c>
      <c r="J568" s="16" t="str">
        <f>IF(B568="","",IF(OR(F568="",G568=""),"IC",VLOOKUP(I568,Scale[],2,1)))</f>
        <v/>
      </c>
    </row>
    <row r="569" spans="1:10" x14ac:dyDescent="0.35">
      <c r="A569" s="34"/>
      <c r="B569" s="35"/>
      <c r="C569" s="34"/>
      <c r="D569" s="34"/>
      <c r="E569" s="34"/>
      <c r="F569" s="46"/>
      <c r="G569" s="46"/>
      <c r="H569" s="14" t="str">
        <f>IF(Assessment_Sheet[[#This Row],[NAME ]]="","",ROUND((G569/60*40),0))</f>
        <v/>
      </c>
      <c r="I569" s="15" t="str">
        <f t="shared" si="9"/>
        <v/>
      </c>
      <c r="J569" s="16" t="str">
        <f>IF(B569="","",IF(OR(F569="",G569=""),"IC",VLOOKUP(I569,Scale[],2,1)))</f>
        <v/>
      </c>
    </row>
    <row r="570" spans="1:10" x14ac:dyDescent="0.35">
      <c r="A570" s="34"/>
      <c r="B570" s="35"/>
      <c r="C570" s="34"/>
      <c r="D570" s="34"/>
      <c r="E570" s="34"/>
      <c r="F570" s="46"/>
      <c r="G570" s="46"/>
      <c r="H570" s="14" t="str">
        <f>IF(Assessment_Sheet[[#This Row],[NAME ]]="","",ROUND((G570/60*40),0))</f>
        <v/>
      </c>
      <c r="I570" s="15" t="str">
        <f t="shared" si="9"/>
        <v/>
      </c>
      <c r="J570" s="16" t="str">
        <f>IF(B570="","",IF(OR(F570="",G570=""),"IC",VLOOKUP(I570,Scale[],2,1)))</f>
        <v/>
      </c>
    </row>
    <row r="571" spans="1:10" x14ac:dyDescent="0.35">
      <c r="A571" s="34"/>
      <c r="B571" s="35"/>
      <c r="C571" s="34"/>
      <c r="D571" s="34"/>
      <c r="E571" s="34"/>
      <c r="F571" s="46"/>
      <c r="G571" s="46"/>
      <c r="H571" s="14" t="str">
        <f>IF(Assessment_Sheet[[#This Row],[NAME ]]="","",ROUND((G571/60*40),0))</f>
        <v/>
      </c>
      <c r="I571" s="15" t="str">
        <f t="shared" si="9"/>
        <v/>
      </c>
      <c r="J571" s="16" t="str">
        <f>IF(B571="","",IF(OR(F571="",G571=""),"IC",VLOOKUP(I571,Scale[],2,1)))</f>
        <v/>
      </c>
    </row>
    <row r="572" spans="1:10" x14ac:dyDescent="0.35">
      <c r="A572" s="34"/>
      <c r="B572" s="35"/>
      <c r="C572" s="34"/>
      <c r="D572" s="34"/>
      <c r="E572" s="34"/>
      <c r="F572" s="46"/>
      <c r="G572" s="46"/>
      <c r="H572" s="14" t="str">
        <f>IF(Assessment_Sheet[[#This Row],[NAME ]]="","",ROUND((G572/60*40),0))</f>
        <v/>
      </c>
      <c r="I572" s="15" t="str">
        <f t="shared" si="9"/>
        <v/>
      </c>
      <c r="J572" s="16" t="str">
        <f>IF(B572="","",IF(OR(F572="",G572=""),"IC",VLOOKUP(I572,Scale[],2,1)))</f>
        <v/>
      </c>
    </row>
    <row r="573" spans="1:10" x14ac:dyDescent="0.35">
      <c r="A573" s="34"/>
      <c r="B573" s="35"/>
      <c r="C573" s="34"/>
      <c r="D573" s="34"/>
      <c r="E573" s="34"/>
      <c r="F573" s="46"/>
      <c r="G573" s="46"/>
      <c r="H573" s="14" t="str">
        <f>IF(Assessment_Sheet[[#This Row],[NAME ]]="","",ROUND((G573/60*40),0))</f>
        <v/>
      </c>
      <c r="I573" s="15" t="str">
        <f t="shared" si="9"/>
        <v/>
      </c>
      <c r="J573" s="16" t="str">
        <f>IF(B573="","",IF(OR(F573="",G573=""),"IC",VLOOKUP(I573,Scale[],2,1)))</f>
        <v/>
      </c>
    </row>
    <row r="574" spans="1:10" x14ac:dyDescent="0.35">
      <c r="A574" s="34"/>
      <c r="B574" s="35"/>
      <c r="C574" s="34"/>
      <c r="D574" s="34"/>
      <c r="E574" s="34"/>
      <c r="F574" s="46"/>
      <c r="G574" s="46"/>
      <c r="H574" s="14" t="str">
        <f>IF(Assessment_Sheet[[#This Row],[NAME ]]="","",ROUND((G574/60*40),0))</f>
        <v/>
      </c>
      <c r="I574" s="15" t="str">
        <f t="shared" si="9"/>
        <v/>
      </c>
      <c r="J574" s="16" t="str">
        <f>IF(B574="","",IF(OR(F574="",G574=""),"IC",VLOOKUP(I574,Scale[],2,1)))</f>
        <v/>
      </c>
    </row>
    <row r="575" spans="1:10" x14ac:dyDescent="0.35">
      <c r="A575" s="34"/>
      <c r="B575" s="35"/>
      <c r="C575" s="34"/>
      <c r="D575" s="34"/>
      <c r="E575" s="34"/>
      <c r="F575" s="46"/>
      <c r="G575" s="46"/>
      <c r="H575" s="14" t="str">
        <f>IF(Assessment_Sheet[[#This Row],[NAME ]]="","",ROUND((G575/60*40),0))</f>
        <v/>
      </c>
      <c r="I575" s="15" t="str">
        <f t="shared" si="9"/>
        <v/>
      </c>
      <c r="J575" s="16" t="str">
        <f>IF(B575="","",IF(OR(F575="",G575=""),"IC",VLOOKUP(I575,Scale[],2,1)))</f>
        <v/>
      </c>
    </row>
    <row r="576" spans="1:10" x14ac:dyDescent="0.35">
      <c r="A576" s="34"/>
      <c r="B576" s="35"/>
      <c r="C576" s="34"/>
      <c r="D576" s="34"/>
      <c r="E576" s="34"/>
      <c r="F576" s="46"/>
      <c r="G576" s="46"/>
      <c r="H576" s="14" t="str">
        <f>IF(Assessment_Sheet[[#This Row],[NAME ]]="","",ROUND((G576/60*40),0))</f>
        <v/>
      </c>
      <c r="I576" s="15" t="str">
        <f t="shared" si="9"/>
        <v/>
      </c>
      <c r="J576" s="16" t="str">
        <f>IF(B576="","",IF(OR(F576="",G576=""),"IC",VLOOKUP(I576,Scale[],2,1)))</f>
        <v/>
      </c>
    </row>
    <row r="577" spans="1:10" x14ac:dyDescent="0.35">
      <c r="A577" s="34"/>
      <c r="B577" s="35"/>
      <c r="C577" s="34"/>
      <c r="D577" s="34"/>
      <c r="E577" s="34"/>
      <c r="F577" s="46"/>
      <c r="G577" s="46"/>
      <c r="H577" s="14" t="str">
        <f>IF(Assessment_Sheet[[#This Row],[NAME ]]="","",ROUND((G577/60*40),0))</f>
        <v/>
      </c>
      <c r="I577" s="15" t="str">
        <f t="shared" si="9"/>
        <v/>
      </c>
      <c r="J577" s="16" t="str">
        <f>IF(B577="","",IF(OR(F577="",G577=""),"IC",VLOOKUP(I577,Scale[],2,1)))</f>
        <v/>
      </c>
    </row>
    <row r="578" spans="1:10" x14ac:dyDescent="0.35">
      <c r="A578" s="34"/>
      <c r="B578" s="35"/>
      <c r="C578" s="34"/>
      <c r="D578" s="34"/>
      <c r="E578" s="34"/>
      <c r="F578" s="46"/>
      <c r="G578" s="46"/>
      <c r="H578" s="14" t="str">
        <f>IF(Assessment_Sheet[[#This Row],[NAME ]]="","",ROUND((G578/60*40),0))</f>
        <v/>
      </c>
      <c r="I578" s="15" t="str">
        <f t="shared" si="9"/>
        <v/>
      </c>
      <c r="J578" s="16" t="str">
        <f>IF(B578="","",IF(OR(F578="",G578=""),"IC",VLOOKUP(I578,Scale[],2,1)))</f>
        <v/>
      </c>
    </row>
    <row r="579" spans="1:10" x14ac:dyDescent="0.35">
      <c r="A579" s="34"/>
      <c r="B579" s="35"/>
      <c r="C579" s="34"/>
      <c r="D579" s="34"/>
      <c r="E579" s="34"/>
      <c r="F579" s="46"/>
      <c r="G579" s="46"/>
      <c r="H579" s="14" t="str">
        <f>IF(Assessment_Sheet[[#This Row],[NAME ]]="","",ROUND((G579/60*40),0))</f>
        <v/>
      </c>
      <c r="I579" s="15" t="str">
        <f t="shared" si="9"/>
        <v/>
      </c>
      <c r="J579" s="16" t="str">
        <f>IF(B579="","",IF(OR(F579="",G579=""),"IC",VLOOKUP(I579,Scale[],2,1)))</f>
        <v/>
      </c>
    </row>
    <row r="580" spans="1:10" x14ac:dyDescent="0.35">
      <c r="A580" s="34"/>
      <c r="B580" s="35"/>
      <c r="C580" s="34"/>
      <c r="D580" s="34"/>
      <c r="E580" s="34"/>
      <c r="F580" s="46"/>
      <c r="G580" s="46"/>
      <c r="H580" s="14" t="str">
        <f>IF(Assessment_Sheet[[#This Row],[NAME ]]="","",ROUND((G580/60*40),0))</f>
        <v/>
      </c>
      <c r="I580" s="15" t="str">
        <f t="shared" si="9"/>
        <v/>
      </c>
      <c r="J580" s="16" t="str">
        <f>IF(B580="","",IF(OR(F580="",G580=""),"IC",VLOOKUP(I580,Scale[],2,1)))</f>
        <v/>
      </c>
    </row>
    <row r="581" spans="1:10" x14ac:dyDescent="0.35">
      <c r="A581" s="34"/>
      <c r="B581" s="35"/>
      <c r="C581" s="34"/>
      <c r="D581" s="34"/>
      <c r="E581" s="34"/>
      <c r="F581" s="46"/>
      <c r="G581" s="46"/>
      <c r="H581" s="14" t="str">
        <f>IF(Assessment_Sheet[[#This Row],[NAME ]]="","",ROUND((G581/60*40),0))</f>
        <v/>
      </c>
      <c r="I581" s="15" t="str">
        <f t="shared" si="9"/>
        <v/>
      </c>
      <c r="J581" s="16" t="str">
        <f>IF(B581="","",IF(OR(F581="",G581=""),"IC",VLOOKUP(I581,Scale[],2,1)))</f>
        <v/>
      </c>
    </row>
    <row r="582" spans="1:10" x14ac:dyDescent="0.35">
      <c r="A582" s="34"/>
      <c r="B582" s="35"/>
      <c r="C582" s="34"/>
      <c r="D582" s="34"/>
      <c r="E582" s="34"/>
      <c r="F582" s="46"/>
      <c r="G582" s="46"/>
      <c r="H582" s="14" t="str">
        <f>IF(Assessment_Sheet[[#This Row],[NAME ]]="","",ROUND((G582/60*40),0))</f>
        <v/>
      </c>
      <c r="I582" s="15" t="str">
        <f t="shared" si="9"/>
        <v/>
      </c>
      <c r="J582" s="16" t="str">
        <f>IF(B582="","",IF(OR(F582="",G582=""),"IC",VLOOKUP(I582,Scale[],2,1)))</f>
        <v/>
      </c>
    </row>
    <row r="583" spans="1:10" x14ac:dyDescent="0.35">
      <c r="A583" s="34"/>
      <c r="B583" s="35"/>
      <c r="C583" s="34"/>
      <c r="D583" s="34"/>
      <c r="E583" s="34"/>
      <c r="F583" s="46"/>
      <c r="G583" s="46"/>
      <c r="H583" s="14" t="str">
        <f>IF(Assessment_Sheet[[#This Row],[NAME ]]="","",ROUND((G583/60*40),0))</f>
        <v/>
      </c>
      <c r="I583" s="15" t="str">
        <f t="shared" si="9"/>
        <v/>
      </c>
      <c r="J583" s="16" t="str">
        <f>IF(B583="","",IF(OR(F583="",G583=""),"IC",VLOOKUP(I583,Scale[],2,1)))</f>
        <v/>
      </c>
    </row>
    <row r="584" spans="1:10" x14ac:dyDescent="0.35">
      <c r="A584" s="34"/>
      <c r="B584" s="35"/>
      <c r="C584" s="34"/>
      <c r="D584" s="34"/>
      <c r="E584" s="34"/>
      <c r="F584" s="46"/>
      <c r="G584" s="46"/>
      <c r="H584" s="14" t="str">
        <f>IF(Assessment_Sheet[[#This Row],[NAME ]]="","",ROUND((G584/60*40),0))</f>
        <v/>
      </c>
      <c r="I584" s="15" t="str">
        <f t="shared" ref="I584:I647" si="10">IFERROR(ROUND((F584+H584),0),"")</f>
        <v/>
      </c>
      <c r="J584" s="16" t="str">
        <f>IF(B584="","",IF(OR(F584="",G584=""),"IC",VLOOKUP(I584,Scale[],2,1)))</f>
        <v/>
      </c>
    </row>
    <row r="585" spans="1:10" x14ac:dyDescent="0.35">
      <c r="A585" s="34"/>
      <c r="B585" s="35"/>
      <c r="C585" s="34"/>
      <c r="D585" s="34"/>
      <c r="E585" s="34"/>
      <c r="F585" s="46"/>
      <c r="G585" s="46"/>
      <c r="H585" s="14" t="str">
        <f>IF(Assessment_Sheet[[#This Row],[NAME ]]="","",ROUND((G585/60*40),0))</f>
        <v/>
      </c>
      <c r="I585" s="15" t="str">
        <f t="shared" si="10"/>
        <v/>
      </c>
      <c r="J585" s="16" t="str">
        <f>IF(B585="","",IF(OR(F585="",G585=""),"IC",VLOOKUP(I585,Scale[],2,1)))</f>
        <v/>
      </c>
    </row>
    <row r="586" spans="1:10" x14ac:dyDescent="0.35">
      <c r="A586" s="34"/>
      <c r="B586" s="35"/>
      <c r="C586" s="34"/>
      <c r="D586" s="34"/>
      <c r="E586" s="34"/>
      <c r="F586" s="46"/>
      <c r="G586" s="46"/>
      <c r="H586" s="14" t="str">
        <f>IF(Assessment_Sheet[[#This Row],[NAME ]]="","",ROUND((G586/60*40),0))</f>
        <v/>
      </c>
      <c r="I586" s="15" t="str">
        <f t="shared" si="10"/>
        <v/>
      </c>
      <c r="J586" s="16" t="str">
        <f>IF(B586="","",IF(OR(F586="",G586=""),"IC",VLOOKUP(I586,Scale[],2,1)))</f>
        <v/>
      </c>
    </row>
    <row r="587" spans="1:10" x14ac:dyDescent="0.35">
      <c r="A587" s="34"/>
      <c r="B587" s="35"/>
      <c r="C587" s="34"/>
      <c r="D587" s="34"/>
      <c r="E587" s="34"/>
      <c r="F587" s="46"/>
      <c r="G587" s="46"/>
      <c r="H587" s="14" t="str">
        <f>IF(Assessment_Sheet[[#This Row],[NAME ]]="","",ROUND((G587/60*40),0))</f>
        <v/>
      </c>
      <c r="I587" s="15" t="str">
        <f t="shared" si="10"/>
        <v/>
      </c>
      <c r="J587" s="16" t="str">
        <f>IF(B587="","",IF(OR(F587="",G587=""),"IC",VLOOKUP(I587,Scale[],2,1)))</f>
        <v/>
      </c>
    </row>
    <row r="588" spans="1:10" x14ac:dyDescent="0.35">
      <c r="A588" s="34"/>
      <c r="B588" s="35"/>
      <c r="C588" s="34"/>
      <c r="D588" s="34"/>
      <c r="E588" s="34"/>
      <c r="F588" s="46"/>
      <c r="G588" s="46"/>
      <c r="H588" s="14" t="str">
        <f>IF(Assessment_Sheet[[#This Row],[NAME ]]="","",ROUND((G588/60*40),0))</f>
        <v/>
      </c>
      <c r="I588" s="15" t="str">
        <f t="shared" si="10"/>
        <v/>
      </c>
      <c r="J588" s="16" t="str">
        <f>IF(B588="","",IF(OR(F588="",G588=""),"IC",VLOOKUP(I588,Scale[],2,1)))</f>
        <v/>
      </c>
    </row>
    <row r="589" spans="1:10" x14ac:dyDescent="0.35">
      <c r="A589" s="34"/>
      <c r="B589" s="35"/>
      <c r="C589" s="34"/>
      <c r="D589" s="34"/>
      <c r="E589" s="34"/>
      <c r="F589" s="46"/>
      <c r="G589" s="46"/>
      <c r="H589" s="14" t="str">
        <f>IF(Assessment_Sheet[[#This Row],[NAME ]]="","",ROUND((G589/60*40),0))</f>
        <v/>
      </c>
      <c r="I589" s="15" t="str">
        <f t="shared" si="10"/>
        <v/>
      </c>
      <c r="J589" s="16" t="str">
        <f>IF(B589="","",IF(OR(F589="",G589=""),"IC",VLOOKUP(I589,Scale[],2,1)))</f>
        <v/>
      </c>
    </row>
    <row r="590" spans="1:10" x14ac:dyDescent="0.35">
      <c r="A590" s="34"/>
      <c r="B590" s="35"/>
      <c r="C590" s="34"/>
      <c r="D590" s="34"/>
      <c r="E590" s="34"/>
      <c r="F590" s="46"/>
      <c r="G590" s="46"/>
      <c r="H590" s="14" t="str">
        <f>IF(Assessment_Sheet[[#This Row],[NAME ]]="","",ROUND((G590/60*40),0))</f>
        <v/>
      </c>
      <c r="I590" s="15" t="str">
        <f t="shared" si="10"/>
        <v/>
      </c>
      <c r="J590" s="16" t="str">
        <f>IF(B590="","",IF(OR(F590="",G590=""),"IC",VLOOKUP(I590,Scale[],2,1)))</f>
        <v/>
      </c>
    </row>
    <row r="591" spans="1:10" x14ac:dyDescent="0.35">
      <c r="A591" s="34"/>
      <c r="B591" s="35"/>
      <c r="C591" s="34"/>
      <c r="D591" s="34"/>
      <c r="E591" s="34"/>
      <c r="F591" s="46"/>
      <c r="G591" s="46"/>
      <c r="H591" s="14" t="str">
        <f>IF(Assessment_Sheet[[#This Row],[NAME ]]="","",ROUND((G591/60*40),0))</f>
        <v/>
      </c>
      <c r="I591" s="15" t="str">
        <f t="shared" si="10"/>
        <v/>
      </c>
      <c r="J591" s="16" t="str">
        <f>IF(B591="","",IF(OR(F591="",G591=""),"IC",VLOOKUP(I591,Scale[],2,1)))</f>
        <v/>
      </c>
    </row>
    <row r="592" spans="1:10" x14ac:dyDescent="0.35">
      <c r="A592" s="34"/>
      <c r="B592" s="35"/>
      <c r="C592" s="34"/>
      <c r="D592" s="34"/>
      <c r="E592" s="34"/>
      <c r="F592" s="46"/>
      <c r="G592" s="46"/>
      <c r="H592" s="14" t="str">
        <f>IF(Assessment_Sheet[[#This Row],[NAME ]]="","",ROUND((G592/60*40),0))</f>
        <v/>
      </c>
      <c r="I592" s="15" t="str">
        <f t="shared" si="10"/>
        <v/>
      </c>
      <c r="J592" s="16" t="str">
        <f>IF(B592="","",IF(OR(F592="",G592=""),"IC",VLOOKUP(I592,Scale[],2,1)))</f>
        <v/>
      </c>
    </row>
    <row r="593" spans="1:10" x14ac:dyDescent="0.35">
      <c r="A593" s="34"/>
      <c r="B593" s="35"/>
      <c r="C593" s="34"/>
      <c r="D593" s="34"/>
      <c r="E593" s="34"/>
      <c r="F593" s="46"/>
      <c r="G593" s="46"/>
      <c r="H593" s="14" t="str">
        <f>IF(Assessment_Sheet[[#This Row],[NAME ]]="","",ROUND((G593/60*40),0))</f>
        <v/>
      </c>
      <c r="I593" s="15" t="str">
        <f t="shared" si="10"/>
        <v/>
      </c>
      <c r="J593" s="16" t="str">
        <f>IF(B593="","",IF(OR(F593="",G593=""),"IC",VLOOKUP(I593,Scale[],2,1)))</f>
        <v/>
      </c>
    </row>
    <row r="594" spans="1:10" x14ac:dyDescent="0.35">
      <c r="A594" s="34"/>
      <c r="B594" s="35"/>
      <c r="C594" s="34"/>
      <c r="D594" s="34"/>
      <c r="E594" s="34"/>
      <c r="F594" s="46"/>
      <c r="G594" s="46"/>
      <c r="H594" s="14" t="str">
        <f>IF(Assessment_Sheet[[#This Row],[NAME ]]="","",ROUND((G594/60*40),0))</f>
        <v/>
      </c>
      <c r="I594" s="15" t="str">
        <f t="shared" si="10"/>
        <v/>
      </c>
      <c r="J594" s="16" t="str">
        <f>IF(B594="","",IF(OR(F594="",G594=""),"IC",VLOOKUP(I594,Scale[],2,1)))</f>
        <v/>
      </c>
    </row>
    <row r="595" spans="1:10" x14ac:dyDescent="0.35">
      <c r="A595" s="34"/>
      <c r="B595" s="35"/>
      <c r="C595" s="34"/>
      <c r="D595" s="34"/>
      <c r="E595" s="34"/>
      <c r="F595" s="46"/>
      <c r="G595" s="46"/>
      <c r="H595" s="14" t="str">
        <f>IF(Assessment_Sheet[[#This Row],[NAME ]]="","",ROUND((G595/60*40),0))</f>
        <v/>
      </c>
      <c r="I595" s="15" t="str">
        <f t="shared" si="10"/>
        <v/>
      </c>
      <c r="J595" s="16" t="str">
        <f>IF(B595="","",IF(OR(F595="",G595=""),"IC",VLOOKUP(I595,Scale[],2,1)))</f>
        <v/>
      </c>
    </row>
    <row r="596" spans="1:10" x14ac:dyDescent="0.35">
      <c r="A596" s="34"/>
      <c r="B596" s="35"/>
      <c r="C596" s="34"/>
      <c r="D596" s="34"/>
      <c r="E596" s="34"/>
      <c r="F596" s="46"/>
      <c r="G596" s="46"/>
      <c r="H596" s="14" t="str">
        <f>IF(Assessment_Sheet[[#This Row],[NAME ]]="","",ROUND((G596/60*40),0))</f>
        <v/>
      </c>
      <c r="I596" s="15" t="str">
        <f t="shared" si="10"/>
        <v/>
      </c>
      <c r="J596" s="16" t="str">
        <f>IF(B596="","",IF(OR(F596="",G596=""),"IC",VLOOKUP(I596,Scale[],2,1)))</f>
        <v/>
      </c>
    </row>
    <row r="597" spans="1:10" x14ac:dyDescent="0.35">
      <c r="A597" s="34"/>
      <c r="B597" s="35"/>
      <c r="C597" s="34"/>
      <c r="D597" s="34"/>
      <c r="E597" s="34"/>
      <c r="F597" s="46"/>
      <c r="G597" s="46"/>
      <c r="H597" s="14" t="str">
        <f>IF(Assessment_Sheet[[#This Row],[NAME ]]="","",ROUND((G597/60*40),0))</f>
        <v/>
      </c>
      <c r="I597" s="15" t="str">
        <f t="shared" si="10"/>
        <v/>
      </c>
      <c r="J597" s="16" t="str">
        <f>IF(B597="","",IF(OR(F597="",G597=""),"IC",VLOOKUP(I597,Scale[],2,1)))</f>
        <v/>
      </c>
    </row>
    <row r="598" spans="1:10" x14ac:dyDescent="0.35">
      <c r="A598" s="34"/>
      <c r="B598" s="35"/>
      <c r="C598" s="34"/>
      <c r="D598" s="34"/>
      <c r="E598" s="34"/>
      <c r="F598" s="46"/>
      <c r="G598" s="46"/>
      <c r="H598" s="14" t="str">
        <f>IF(Assessment_Sheet[[#This Row],[NAME ]]="","",ROUND((G598/60*40),0))</f>
        <v/>
      </c>
      <c r="I598" s="15" t="str">
        <f t="shared" si="10"/>
        <v/>
      </c>
      <c r="J598" s="16" t="str">
        <f>IF(B598="","",IF(OR(F598="",G598=""),"IC",VLOOKUP(I598,Scale[],2,1)))</f>
        <v/>
      </c>
    </row>
    <row r="599" spans="1:10" x14ac:dyDescent="0.35">
      <c r="A599" s="34"/>
      <c r="B599" s="35"/>
      <c r="C599" s="34"/>
      <c r="D599" s="34"/>
      <c r="E599" s="34"/>
      <c r="F599" s="46"/>
      <c r="G599" s="46"/>
      <c r="H599" s="14" t="str">
        <f>IF(Assessment_Sheet[[#This Row],[NAME ]]="","",ROUND((G599/60*40),0))</f>
        <v/>
      </c>
      <c r="I599" s="15" t="str">
        <f t="shared" si="10"/>
        <v/>
      </c>
      <c r="J599" s="16" t="str">
        <f>IF(B599="","",IF(OR(F599="",G599=""),"IC",VLOOKUP(I599,Scale[],2,1)))</f>
        <v/>
      </c>
    </row>
    <row r="600" spans="1:10" x14ac:dyDescent="0.35">
      <c r="A600" s="34"/>
      <c r="B600" s="35"/>
      <c r="C600" s="34"/>
      <c r="D600" s="34"/>
      <c r="E600" s="34"/>
      <c r="F600" s="46"/>
      <c r="G600" s="46"/>
      <c r="H600" s="14" t="str">
        <f>IF(Assessment_Sheet[[#This Row],[NAME ]]="","",ROUND((G600/60*40),0))</f>
        <v/>
      </c>
      <c r="I600" s="15" t="str">
        <f t="shared" si="10"/>
        <v/>
      </c>
      <c r="J600" s="16" t="str">
        <f>IF(B600="","",IF(OR(F600="",G600=""),"IC",VLOOKUP(I600,Scale[],2,1)))</f>
        <v/>
      </c>
    </row>
    <row r="601" spans="1:10" x14ac:dyDescent="0.35">
      <c r="A601" s="34"/>
      <c r="B601" s="35"/>
      <c r="C601" s="34"/>
      <c r="D601" s="34"/>
      <c r="E601" s="34"/>
      <c r="F601" s="46"/>
      <c r="G601" s="46"/>
      <c r="H601" s="14" t="str">
        <f>IF(Assessment_Sheet[[#This Row],[NAME ]]="","",ROUND((G601/60*40),0))</f>
        <v/>
      </c>
      <c r="I601" s="15" t="str">
        <f t="shared" si="10"/>
        <v/>
      </c>
      <c r="J601" s="16" t="str">
        <f>IF(B601="","",IF(OR(F601="",G601=""),"IC",VLOOKUP(I601,Scale[],2,1)))</f>
        <v/>
      </c>
    </row>
    <row r="602" spans="1:10" x14ac:dyDescent="0.35">
      <c r="A602" s="34"/>
      <c r="B602" s="35"/>
      <c r="C602" s="34"/>
      <c r="D602" s="34"/>
      <c r="E602" s="34"/>
      <c r="F602" s="46"/>
      <c r="G602" s="46"/>
      <c r="H602" s="14" t="str">
        <f>IF(Assessment_Sheet[[#This Row],[NAME ]]="","",ROUND((G602/60*40),0))</f>
        <v/>
      </c>
      <c r="I602" s="15" t="str">
        <f t="shared" si="10"/>
        <v/>
      </c>
      <c r="J602" s="16" t="str">
        <f>IF(B602="","",IF(OR(F602="",G602=""),"IC",VLOOKUP(I602,Scale[],2,1)))</f>
        <v/>
      </c>
    </row>
    <row r="603" spans="1:10" x14ac:dyDescent="0.35">
      <c r="A603" s="34"/>
      <c r="B603" s="35"/>
      <c r="C603" s="34"/>
      <c r="D603" s="34"/>
      <c r="E603" s="34"/>
      <c r="F603" s="46"/>
      <c r="G603" s="46"/>
      <c r="H603" s="14" t="str">
        <f>IF(Assessment_Sheet[[#This Row],[NAME ]]="","",ROUND((G603/60*40),0))</f>
        <v/>
      </c>
      <c r="I603" s="15" t="str">
        <f t="shared" si="10"/>
        <v/>
      </c>
      <c r="J603" s="16" t="str">
        <f>IF(B603="","",IF(OR(F603="",G603=""),"IC",VLOOKUP(I603,Scale[],2,1)))</f>
        <v/>
      </c>
    </row>
    <row r="604" spans="1:10" x14ac:dyDescent="0.35">
      <c r="A604" s="34"/>
      <c r="B604" s="35"/>
      <c r="C604" s="34"/>
      <c r="D604" s="34"/>
      <c r="E604" s="34"/>
      <c r="F604" s="46"/>
      <c r="G604" s="46"/>
      <c r="H604" s="14" t="str">
        <f>IF(Assessment_Sheet[[#This Row],[NAME ]]="","",ROUND((G604/60*40),0))</f>
        <v/>
      </c>
      <c r="I604" s="15" t="str">
        <f t="shared" si="10"/>
        <v/>
      </c>
      <c r="J604" s="16" t="str">
        <f>IF(B604="","",IF(OR(F604="",G604=""),"IC",VLOOKUP(I604,Scale[],2,1)))</f>
        <v/>
      </c>
    </row>
    <row r="605" spans="1:10" x14ac:dyDescent="0.35">
      <c r="A605" s="34"/>
      <c r="B605" s="35"/>
      <c r="C605" s="34"/>
      <c r="D605" s="34"/>
      <c r="E605" s="34"/>
      <c r="F605" s="46"/>
      <c r="G605" s="46"/>
      <c r="H605" s="14" t="str">
        <f>IF(Assessment_Sheet[[#This Row],[NAME ]]="","",ROUND((G605/60*40),0))</f>
        <v/>
      </c>
      <c r="I605" s="15" t="str">
        <f t="shared" si="10"/>
        <v/>
      </c>
      <c r="J605" s="16" t="str">
        <f>IF(B605="","",IF(OR(F605="",G605=""),"IC",VLOOKUP(I605,Scale[],2,1)))</f>
        <v/>
      </c>
    </row>
    <row r="606" spans="1:10" x14ac:dyDescent="0.35">
      <c r="A606" s="34"/>
      <c r="B606" s="35"/>
      <c r="C606" s="34"/>
      <c r="D606" s="34"/>
      <c r="E606" s="34"/>
      <c r="F606" s="46"/>
      <c r="G606" s="46"/>
      <c r="H606" s="14" t="str">
        <f>IF(Assessment_Sheet[[#This Row],[NAME ]]="","",ROUND((G606/60*40),0))</f>
        <v/>
      </c>
      <c r="I606" s="15" t="str">
        <f t="shared" si="10"/>
        <v/>
      </c>
      <c r="J606" s="16" t="str">
        <f>IF(B606="","",IF(OR(F606="",G606=""),"IC",VLOOKUP(I606,Scale[],2,1)))</f>
        <v/>
      </c>
    </row>
    <row r="607" spans="1:10" x14ac:dyDescent="0.35">
      <c r="A607" s="34"/>
      <c r="B607" s="35"/>
      <c r="C607" s="34"/>
      <c r="D607" s="34"/>
      <c r="E607" s="34"/>
      <c r="F607" s="46"/>
      <c r="G607" s="46"/>
      <c r="H607" s="14" t="str">
        <f>IF(Assessment_Sheet[[#This Row],[NAME ]]="","",ROUND((G607/60*40),0))</f>
        <v/>
      </c>
      <c r="I607" s="15" t="str">
        <f t="shared" si="10"/>
        <v/>
      </c>
      <c r="J607" s="16" t="str">
        <f>IF(B607="","",IF(OR(F607="",G607=""),"IC",VLOOKUP(I607,Scale[],2,1)))</f>
        <v/>
      </c>
    </row>
    <row r="608" spans="1:10" x14ac:dyDescent="0.35">
      <c r="A608" s="34"/>
      <c r="B608" s="35"/>
      <c r="C608" s="34"/>
      <c r="D608" s="34"/>
      <c r="E608" s="34"/>
      <c r="F608" s="46"/>
      <c r="G608" s="46"/>
      <c r="H608" s="14" t="str">
        <f>IF(Assessment_Sheet[[#This Row],[NAME ]]="","",ROUND((G608/60*40),0))</f>
        <v/>
      </c>
      <c r="I608" s="15" t="str">
        <f t="shared" si="10"/>
        <v/>
      </c>
      <c r="J608" s="16" t="str">
        <f>IF(B608="","",IF(OR(F608="",G608=""),"IC",VLOOKUP(I608,Scale[],2,1)))</f>
        <v/>
      </c>
    </row>
    <row r="609" spans="1:10" x14ac:dyDescent="0.35">
      <c r="A609" s="34"/>
      <c r="B609" s="35"/>
      <c r="C609" s="34"/>
      <c r="D609" s="34"/>
      <c r="E609" s="34"/>
      <c r="F609" s="46"/>
      <c r="G609" s="46"/>
      <c r="H609" s="14" t="str">
        <f>IF(Assessment_Sheet[[#This Row],[NAME ]]="","",ROUND((G609/60*40),0))</f>
        <v/>
      </c>
      <c r="I609" s="15" t="str">
        <f t="shared" si="10"/>
        <v/>
      </c>
      <c r="J609" s="16" t="str">
        <f>IF(B609="","",IF(OR(F609="",G609=""),"IC",VLOOKUP(I609,Scale[],2,1)))</f>
        <v/>
      </c>
    </row>
    <row r="610" spans="1:10" x14ac:dyDescent="0.35">
      <c r="A610" s="34"/>
      <c r="B610" s="35"/>
      <c r="C610" s="34"/>
      <c r="D610" s="34"/>
      <c r="E610" s="34"/>
      <c r="F610" s="46"/>
      <c r="G610" s="46"/>
      <c r="H610" s="14" t="str">
        <f>IF(Assessment_Sheet[[#This Row],[NAME ]]="","",ROUND((G610/60*40),0))</f>
        <v/>
      </c>
      <c r="I610" s="15" t="str">
        <f t="shared" si="10"/>
        <v/>
      </c>
      <c r="J610" s="16" t="str">
        <f>IF(B610="","",IF(OR(F610="",G610=""),"IC",VLOOKUP(I610,Scale[],2,1)))</f>
        <v/>
      </c>
    </row>
    <row r="611" spans="1:10" x14ac:dyDescent="0.35">
      <c r="A611" s="34"/>
      <c r="B611" s="35"/>
      <c r="C611" s="34"/>
      <c r="D611" s="34"/>
      <c r="E611" s="34"/>
      <c r="F611" s="46"/>
      <c r="G611" s="46"/>
      <c r="H611" s="14" t="str">
        <f>IF(Assessment_Sheet[[#This Row],[NAME ]]="","",ROUND((G611/60*40),0))</f>
        <v/>
      </c>
      <c r="I611" s="15" t="str">
        <f t="shared" si="10"/>
        <v/>
      </c>
      <c r="J611" s="16" t="str">
        <f>IF(B611="","",IF(OR(F611="",G611=""),"IC",VLOOKUP(I611,Scale[],2,1)))</f>
        <v/>
      </c>
    </row>
    <row r="612" spans="1:10" x14ac:dyDescent="0.35">
      <c r="A612" s="34"/>
      <c r="B612" s="35"/>
      <c r="C612" s="34"/>
      <c r="D612" s="34"/>
      <c r="E612" s="34"/>
      <c r="F612" s="46"/>
      <c r="G612" s="46"/>
      <c r="H612" s="14" t="str">
        <f>IF(Assessment_Sheet[[#This Row],[NAME ]]="","",ROUND((G612/60*40),0))</f>
        <v/>
      </c>
      <c r="I612" s="15" t="str">
        <f t="shared" si="10"/>
        <v/>
      </c>
      <c r="J612" s="16" t="str">
        <f>IF(B612="","",IF(OR(F612="",G612=""),"IC",VLOOKUP(I612,Scale[],2,1)))</f>
        <v/>
      </c>
    </row>
    <row r="613" spans="1:10" x14ac:dyDescent="0.35">
      <c r="A613" s="34"/>
      <c r="B613" s="35"/>
      <c r="C613" s="34"/>
      <c r="D613" s="34"/>
      <c r="E613" s="34"/>
      <c r="F613" s="46"/>
      <c r="G613" s="46"/>
      <c r="H613" s="14" t="str">
        <f>IF(Assessment_Sheet[[#This Row],[NAME ]]="","",ROUND((G613/60*40),0))</f>
        <v/>
      </c>
      <c r="I613" s="15" t="str">
        <f t="shared" si="10"/>
        <v/>
      </c>
      <c r="J613" s="16" t="str">
        <f>IF(B613="","",IF(OR(F613="",G613=""),"IC",VLOOKUP(I613,Scale[],2,1)))</f>
        <v/>
      </c>
    </row>
    <row r="614" spans="1:10" x14ac:dyDescent="0.35">
      <c r="A614" s="34"/>
      <c r="B614" s="35"/>
      <c r="C614" s="34"/>
      <c r="D614" s="34"/>
      <c r="E614" s="34"/>
      <c r="F614" s="46"/>
      <c r="G614" s="46"/>
      <c r="H614" s="14" t="str">
        <f>IF(Assessment_Sheet[[#This Row],[NAME ]]="","",ROUND((G614/60*40),0))</f>
        <v/>
      </c>
      <c r="I614" s="15" t="str">
        <f t="shared" si="10"/>
        <v/>
      </c>
      <c r="J614" s="16" t="str">
        <f>IF(B614="","",IF(OR(F614="",G614=""),"IC",VLOOKUP(I614,Scale[],2,1)))</f>
        <v/>
      </c>
    </row>
    <row r="615" spans="1:10" x14ac:dyDescent="0.35">
      <c r="A615" s="34"/>
      <c r="B615" s="35"/>
      <c r="C615" s="34"/>
      <c r="D615" s="34"/>
      <c r="E615" s="34"/>
      <c r="F615" s="46"/>
      <c r="G615" s="46"/>
      <c r="H615" s="14" t="str">
        <f>IF(Assessment_Sheet[[#This Row],[NAME ]]="","",ROUND((G615/60*40),0))</f>
        <v/>
      </c>
      <c r="I615" s="15" t="str">
        <f t="shared" si="10"/>
        <v/>
      </c>
      <c r="J615" s="16" t="str">
        <f>IF(B615="","",IF(OR(F615="",G615=""),"IC",VLOOKUP(I615,Scale[],2,1)))</f>
        <v/>
      </c>
    </row>
    <row r="616" spans="1:10" x14ac:dyDescent="0.35">
      <c r="A616" s="34"/>
      <c r="B616" s="35"/>
      <c r="C616" s="34"/>
      <c r="D616" s="34"/>
      <c r="E616" s="34"/>
      <c r="F616" s="46"/>
      <c r="G616" s="46"/>
      <c r="H616" s="14" t="str">
        <f>IF(Assessment_Sheet[[#This Row],[NAME ]]="","",ROUND((G616/60*40),0))</f>
        <v/>
      </c>
      <c r="I616" s="15" t="str">
        <f t="shared" si="10"/>
        <v/>
      </c>
      <c r="J616" s="16" t="str">
        <f>IF(B616="","",IF(OR(F616="",G616=""),"IC",VLOOKUP(I616,Scale[],2,1)))</f>
        <v/>
      </c>
    </row>
    <row r="617" spans="1:10" x14ac:dyDescent="0.35">
      <c r="A617" s="34"/>
      <c r="B617" s="35"/>
      <c r="C617" s="34"/>
      <c r="D617" s="34"/>
      <c r="E617" s="34"/>
      <c r="F617" s="46"/>
      <c r="G617" s="46"/>
      <c r="H617" s="14" t="str">
        <f>IF(Assessment_Sheet[[#This Row],[NAME ]]="","",ROUND((G617/60*40),0))</f>
        <v/>
      </c>
      <c r="I617" s="15" t="str">
        <f t="shared" si="10"/>
        <v/>
      </c>
      <c r="J617" s="16" t="str">
        <f>IF(B617="","",IF(OR(F617="",G617=""),"IC",VLOOKUP(I617,Scale[],2,1)))</f>
        <v/>
      </c>
    </row>
    <row r="618" spans="1:10" x14ac:dyDescent="0.35">
      <c r="A618" s="34"/>
      <c r="B618" s="35"/>
      <c r="C618" s="34"/>
      <c r="D618" s="34"/>
      <c r="E618" s="34"/>
      <c r="F618" s="46"/>
      <c r="G618" s="46"/>
      <c r="H618" s="14" t="str">
        <f>IF(Assessment_Sheet[[#This Row],[NAME ]]="","",ROUND((G618/60*40),0))</f>
        <v/>
      </c>
      <c r="I618" s="15" t="str">
        <f t="shared" si="10"/>
        <v/>
      </c>
      <c r="J618" s="16" t="str">
        <f>IF(B618="","",IF(OR(F618="",G618=""),"IC",VLOOKUP(I618,Scale[],2,1)))</f>
        <v/>
      </c>
    </row>
    <row r="619" spans="1:10" x14ac:dyDescent="0.35">
      <c r="A619" s="34"/>
      <c r="B619" s="35"/>
      <c r="C619" s="34"/>
      <c r="D619" s="34"/>
      <c r="E619" s="34"/>
      <c r="F619" s="46"/>
      <c r="G619" s="46"/>
      <c r="H619" s="14" t="str">
        <f>IF(Assessment_Sheet[[#This Row],[NAME ]]="","",ROUND((G619/60*40),0))</f>
        <v/>
      </c>
      <c r="I619" s="15" t="str">
        <f t="shared" si="10"/>
        <v/>
      </c>
      <c r="J619" s="16" t="str">
        <f>IF(B619="","",IF(OR(F619="",G619=""),"IC",VLOOKUP(I619,Scale[],2,1)))</f>
        <v/>
      </c>
    </row>
    <row r="620" spans="1:10" x14ac:dyDescent="0.35">
      <c r="A620" s="34"/>
      <c r="B620" s="35"/>
      <c r="C620" s="34"/>
      <c r="D620" s="34"/>
      <c r="E620" s="34"/>
      <c r="F620" s="46"/>
      <c r="G620" s="46"/>
      <c r="H620" s="14" t="str">
        <f>IF(Assessment_Sheet[[#This Row],[NAME ]]="","",ROUND((G620/60*40),0))</f>
        <v/>
      </c>
      <c r="I620" s="15" t="str">
        <f t="shared" si="10"/>
        <v/>
      </c>
      <c r="J620" s="16" t="str">
        <f>IF(B620="","",IF(OR(F620="",G620=""),"IC",VLOOKUP(I620,Scale[],2,1)))</f>
        <v/>
      </c>
    </row>
    <row r="621" spans="1:10" x14ac:dyDescent="0.35">
      <c r="A621" s="34"/>
      <c r="B621" s="35"/>
      <c r="C621" s="34"/>
      <c r="D621" s="34"/>
      <c r="E621" s="34"/>
      <c r="F621" s="46"/>
      <c r="G621" s="46"/>
      <c r="H621" s="14" t="str">
        <f>IF(Assessment_Sheet[[#This Row],[NAME ]]="","",ROUND((G621/60*40),0))</f>
        <v/>
      </c>
      <c r="I621" s="15" t="str">
        <f t="shared" si="10"/>
        <v/>
      </c>
      <c r="J621" s="16" t="str">
        <f>IF(B621="","",IF(OR(F621="",G621=""),"IC",VLOOKUP(I621,Scale[],2,1)))</f>
        <v/>
      </c>
    </row>
    <row r="622" spans="1:10" x14ac:dyDescent="0.35">
      <c r="A622" s="34"/>
      <c r="B622" s="35"/>
      <c r="C622" s="34"/>
      <c r="D622" s="34"/>
      <c r="E622" s="34"/>
      <c r="F622" s="46"/>
      <c r="G622" s="46"/>
      <c r="H622" s="14" t="str">
        <f>IF(Assessment_Sheet[[#This Row],[NAME ]]="","",ROUND((G622/60*40),0))</f>
        <v/>
      </c>
      <c r="I622" s="15" t="str">
        <f t="shared" si="10"/>
        <v/>
      </c>
      <c r="J622" s="16" t="str">
        <f>IF(B622="","",IF(OR(F622="",G622=""),"IC",VLOOKUP(I622,Scale[],2,1)))</f>
        <v/>
      </c>
    </row>
    <row r="623" spans="1:10" x14ac:dyDescent="0.35">
      <c r="A623" s="34"/>
      <c r="B623" s="35"/>
      <c r="C623" s="34"/>
      <c r="D623" s="34"/>
      <c r="E623" s="34"/>
      <c r="F623" s="46"/>
      <c r="G623" s="46"/>
      <c r="H623" s="14" t="str">
        <f>IF(Assessment_Sheet[[#This Row],[NAME ]]="","",ROUND((G623/60*40),0))</f>
        <v/>
      </c>
      <c r="I623" s="15" t="str">
        <f t="shared" si="10"/>
        <v/>
      </c>
      <c r="J623" s="16" t="str">
        <f>IF(B623="","",IF(OR(F623="",G623=""),"IC",VLOOKUP(I623,Scale[],2,1)))</f>
        <v/>
      </c>
    </row>
    <row r="624" spans="1:10" x14ac:dyDescent="0.35">
      <c r="A624" s="34"/>
      <c r="B624" s="35"/>
      <c r="C624" s="34"/>
      <c r="D624" s="34"/>
      <c r="E624" s="34"/>
      <c r="F624" s="46"/>
      <c r="G624" s="46"/>
      <c r="H624" s="14" t="str">
        <f>IF(Assessment_Sheet[[#This Row],[NAME ]]="","",ROUND((G624/60*40),0))</f>
        <v/>
      </c>
      <c r="I624" s="15" t="str">
        <f t="shared" si="10"/>
        <v/>
      </c>
      <c r="J624" s="16" t="str">
        <f>IF(B624="","",IF(OR(F624="",G624=""),"IC",VLOOKUP(I624,Scale[],2,1)))</f>
        <v/>
      </c>
    </row>
    <row r="625" spans="1:10" x14ac:dyDescent="0.35">
      <c r="A625" s="34"/>
      <c r="B625" s="35"/>
      <c r="C625" s="34"/>
      <c r="D625" s="34"/>
      <c r="E625" s="34"/>
      <c r="F625" s="46"/>
      <c r="G625" s="46"/>
      <c r="H625" s="14" t="str">
        <f>IF(Assessment_Sheet[[#This Row],[NAME ]]="","",ROUND((G625/60*40),0))</f>
        <v/>
      </c>
      <c r="I625" s="15" t="str">
        <f t="shared" si="10"/>
        <v/>
      </c>
      <c r="J625" s="16" t="str">
        <f>IF(B625="","",IF(OR(F625="",G625=""),"IC",VLOOKUP(I625,Scale[],2,1)))</f>
        <v/>
      </c>
    </row>
    <row r="626" spans="1:10" x14ac:dyDescent="0.35">
      <c r="A626" s="34"/>
      <c r="B626" s="35"/>
      <c r="C626" s="34"/>
      <c r="D626" s="34"/>
      <c r="E626" s="34"/>
      <c r="F626" s="46"/>
      <c r="G626" s="46"/>
      <c r="H626" s="14" t="str">
        <f>IF(Assessment_Sheet[[#This Row],[NAME ]]="","",ROUND((G626/60*40),0))</f>
        <v/>
      </c>
      <c r="I626" s="15" t="str">
        <f t="shared" si="10"/>
        <v/>
      </c>
      <c r="J626" s="16" t="str">
        <f>IF(B626="","",IF(OR(F626="",G626=""),"IC",VLOOKUP(I626,Scale[],2,1)))</f>
        <v/>
      </c>
    </row>
    <row r="627" spans="1:10" x14ac:dyDescent="0.35">
      <c r="A627" s="34"/>
      <c r="B627" s="35"/>
      <c r="C627" s="34"/>
      <c r="D627" s="34"/>
      <c r="E627" s="34"/>
      <c r="F627" s="46"/>
      <c r="G627" s="46"/>
      <c r="H627" s="14" t="str">
        <f>IF(Assessment_Sheet[[#This Row],[NAME ]]="","",ROUND((G627/60*40),0))</f>
        <v/>
      </c>
      <c r="I627" s="15" t="str">
        <f t="shared" si="10"/>
        <v/>
      </c>
      <c r="J627" s="16" t="str">
        <f>IF(B627="","",IF(OR(F627="",G627=""),"IC",VLOOKUP(I627,Scale[],2,1)))</f>
        <v/>
      </c>
    </row>
    <row r="628" spans="1:10" x14ac:dyDescent="0.35">
      <c r="A628" s="34"/>
      <c r="B628" s="35"/>
      <c r="C628" s="34"/>
      <c r="D628" s="34"/>
      <c r="E628" s="34"/>
      <c r="F628" s="46"/>
      <c r="G628" s="46"/>
      <c r="H628" s="14" t="str">
        <f>IF(Assessment_Sheet[[#This Row],[NAME ]]="","",ROUND((G628/60*40),0))</f>
        <v/>
      </c>
      <c r="I628" s="15" t="str">
        <f t="shared" si="10"/>
        <v/>
      </c>
      <c r="J628" s="16" t="str">
        <f>IF(B628="","",IF(OR(F628="",G628=""),"IC",VLOOKUP(I628,Scale[],2,1)))</f>
        <v/>
      </c>
    </row>
    <row r="629" spans="1:10" x14ac:dyDescent="0.35">
      <c r="A629" s="34"/>
      <c r="B629" s="35"/>
      <c r="C629" s="34"/>
      <c r="D629" s="34"/>
      <c r="E629" s="34"/>
      <c r="F629" s="46"/>
      <c r="G629" s="46"/>
      <c r="H629" s="14" t="str">
        <f>IF(Assessment_Sheet[[#This Row],[NAME ]]="","",ROUND((G629/60*40),0))</f>
        <v/>
      </c>
      <c r="I629" s="15" t="str">
        <f t="shared" si="10"/>
        <v/>
      </c>
      <c r="J629" s="16" t="str">
        <f>IF(B629="","",IF(OR(F629="",G629=""),"IC",VLOOKUP(I629,Scale[],2,1)))</f>
        <v/>
      </c>
    </row>
    <row r="630" spans="1:10" x14ac:dyDescent="0.35">
      <c r="A630" s="34"/>
      <c r="B630" s="35"/>
      <c r="C630" s="34"/>
      <c r="D630" s="34"/>
      <c r="E630" s="34"/>
      <c r="F630" s="46"/>
      <c r="G630" s="46"/>
      <c r="H630" s="14" t="str">
        <f>IF(Assessment_Sheet[[#This Row],[NAME ]]="","",ROUND((G630/60*40),0))</f>
        <v/>
      </c>
      <c r="I630" s="15" t="str">
        <f t="shared" si="10"/>
        <v/>
      </c>
      <c r="J630" s="16" t="str">
        <f>IF(B630="","",IF(OR(F630="",G630=""),"IC",VLOOKUP(I630,Scale[],2,1)))</f>
        <v/>
      </c>
    </row>
    <row r="631" spans="1:10" x14ac:dyDescent="0.35">
      <c r="A631" s="34"/>
      <c r="B631" s="35"/>
      <c r="C631" s="34"/>
      <c r="D631" s="34"/>
      <c r="E631" s="34"/>
      <c r="F631" s="46"/>
      <c r="G631" s="46"/>
      <c r="H631" s="14" t="str">
        <f>IF(Assessment_Sheet[[#This Row],[NAME ]]="","",ROUND((G631/60*40),0))</f>
        <v/>
      </c>
      <c r="I631" s="15" t="str">
        <f t="shared" si="10"/>
        <v/>
      </c>
      <c r="J631" s="16" t="str">
        <f>IF(B631="","",IF(OR(F631="",G631=""),"IC",VLOOKUP(I631,Scale[],2,1)))</f>
        <v/>
      </c>
    </row>
    <row r="632" spans="1:10" x14ac:dyDescent="0.35">
      <c r="A632" s="34"/>
      <c r="B632" s="35"/>
      <c r="C632" s="34"/>
      <c r="D632" s="34"/>
      <c r="E632" s="34"/>
      <c r="F632" s="46"/>
      <c r="G632" s="46"/>
      <c r="H632" s="14" t="str">
        <f>IF(Assessment_Sheet[[#This Row],[NAME ]]="","",ROUND((G632/60*40),0))</f>
        <v/>
      </c>
      <c r="I632" s="15" t="str">
        <f t="shared" si="10"/>
        <v/>
      </c>
      <c r="J632" s="16" t="str">
        <f>IF(B632="","",IF(OR(F632="",G632=""),"IC",VLOOKUP(I632,Scale[],2,1)))</f>
        <v/>
      </c>
    </row>
    <row r="633" spans="1:10" x14ac:dyDescent="0.35">
      <c r="A633" s="34"/>
      <c r="B633" s="35"/>
      <c r="C633" s="34"/>
      <c r="D633" s="34"/>
      <c r="E633" s="34"/>
      <c r="F633" s="46"/>
      <c r="G633" s="46"/>
      <c r="H633" s="14" t="str">
        <f>IF(Assessment_Sheet[[#This Row],[NAME ]]="","",ROUND((G633/60*40),0))</f>
        <v/>
      </c>
      <c r="I633" s="15" t="str">
        <f t="shared" si="10"/>
        <v/>
      </c>
      <c r="J633" s="16" t="str">
        <f>IF(B633="","",IF(OR(F633="",G633=""),"IC",VLOOKUP(I633,Scale[],2,1)))</f>
        <v/>
      </c>
    </row>
    <row r="634" spans="1:10" x14ac:dyDescent="0.35">
      <c r="A634" s="34"/>
      <c r="B634" s="35"/>
      <c r="C634" s="34"/>
      <c r="D634" s="34"/>
      <c r="E634" s="34"/>
      <c r="F634" s="46"/>
      <c r="G634" s="46"/>
      <c r="H634" s="14" t="str">
        <f>IF(Assessment_Sheet[[#This Row],[NAME ]]="","",ROUND((G634/60*40),0))</f>
        <v/>
      </c>
      <c r="I634" s="15" t="str">
        <f t="shared" si="10"/>
        <v/>
      </c>
      <c r="J634" s="16" t="str">
        <f>IF(B634="","",IF(OR(F634="",G634=""),"IC",VLOOKUP(I634,Scale[],2,1)))</f>
        <v/>
      </c>
    </row>
    <row r="635" spans="1:10" x14ac:dyDescent="0.35">
      <c r="A635" s="34"/>
      <c r="B635" s="35"/>
      <c r="C635" s="34"/>
      <c r="D635" s="34"/>
      <c r="E635" s="34"/>
      <c r="F635" s="46"/>
      <c r="G635" s="46"/>
      <c r="H635" s="14" t="str">
        <f>IF(Assessment_Sheet[[#This Row],[NAME ]]="","",ROUND((G635/60*40),0))</f>
        <v/>
      </c>
      <c r="I635" s="15" t="str">
        <f t="shared" si="10"/>
        <v/>
      </c>
      <c r="J635" s="16" t="str">
        <f>IF(B635="","",IF(OR(F635="",G635=""),"IC",VLOOKUP(I635,Scale[],2,1)))</f>
        <v/>
      </c>
    </row>
    <row r="636" spans="1:10" x14ac:dyDescent="0.35">
      <c r="A636" s="34"/>
      <c r="B636" s="35"/>
      <c r="C636" s="34"/>
      <c r="D636" s="34"/>
      <c r="E636" s="34"/>
      <c r="F636" s="46"/>
      <c r="G636" s="46"/>
      <c r="H636" s="14" t="str">
        <f>IF(Assessment_Sheet[[#This Row],[NAME ]]="","",ROUND((G636/60*40),0))</f>
        <v/>
      </c>
      <c r="I636" s="15" t="str">
        <f t="shared" si="10"/>
        <v/>
      </c>
      <c r="J636" s="16" t="str">
        <f>IF(B636="","",IF(OR(F636="",G636=""),"IC",VLOOKUP(I636,Scale[],2,1)))</f>
        <v/>
      </c>
    </row>
    <row r="637" spans="1:10" x14ac:dyDescent="0.35">
      <c r="A637" s="34"/>
      <c r="B637" s="35"/>
      <c r="C637" s="34"/>
      <c r="D637" s="34"/>
      <c r="E637" s="34"/>
      <c r="F637" s="46"/>
      <c r="G637" s="46"/>
      <c r="H637" s="14" t="str">
        <f>IF(Assessment_Sheet[[#This Row],[NAME ]]="","",ROUND((G637/60*40),0))</f>
        <v/>
      </c>
      <c r="I637" s="15" t="str">
        <f t="shared" si="10"/>
        <v/>
      </c>
      <c r="J637" s="16" t="str">
        <f>IF(B637="","",IF(OR(F637="",G637=""),"IC",VLOOKUP(I637,Scale[],2,1)))</f>
        <v/>
      </c>
    </row>
    <row r="638" spans="1:10" x14ac:dyDescent="0.35">
      <c r="A638" s="34"/>
      <c r="B638" s="35"/>
      <c r="C638" s="34"/>
      <c r="D638" s="34"/>
      <c r="E638" s="34"/>
      <c r="F638" s="46"/>
      <c r="G638" s="46"/>
      <c r="H638" s="14" t="str">
        <f>IF(Assessment_Sheet[[#This Row],[NAME ]]="","",ROUND((G638/60*40),0))</f>
        <v/>
      </c>
      <c r="I638" s="15" t="str">
        <f t="shared" si="10"/>
        <v/>
      </c>
      <c r="J638" s="16" t="str">
        <f>IF(B638="","",IF(OR(F638="",G638=""),"IC",VLOOKUP(I638,Scale[],2,1)))</f>
        <v/>
      </c>
    </row>
    <row r="639" spans="1:10" x14ac:dyDescent="0.35">
      <c r="A639" s="34"/>
      <c r="B639" s="35"/>
      <c r="C639" s="34"/>
      <c r="D639" s="34"/>
      <c r="E639" s="34"/>
      <c r="F639" s="46"/>
      <c r="G639" s="46"/>
      <c r="H639" s="14" t="str">
        <f>IF(Assessment_Sheet[[#This Row],[NAME ]]="","",ROUND((G639/60*40),0))</f>
        <v/>
      </c>
      <c r="I639" s="15" t="str">
        <f t="shared" si="10"/>
        <v/>
      </c>
      <c r="J639" s="16" t="str">
        <f>IF(B639="","",IF(OR(F639="",G639=""),"IC",VLOOKUP(I639,Scale[],2,1)))</f>
        <v/>
      </c>
    </row>
    <row r="640" spans="1:10" x14ac:dyDescent="0.35">
      <c r="A640" s="34"/>
      <c r="B640" s="35"/>
      <c r="C640" s="34"/>
      <c r="D640" s="34"/>
      <c r="E640" s="34"/>
      <c r="F640" s="46"/>
      <c r="G640" s="46"/>
      <c r="H640" s="14" t="str">
        <f>IF(Assessment_Sheet[[#This Row],[NAME ]]="","",ROUND((G640/60*40),0))</f>
        <v/>
      </c>
      <c r="I640" s="15" t="str">
        <f t="shared" si="10"/>
        <v/>
      </c>
      <c r="J640" s="16" t="str">
        <f>IF(B640="","",IF(OR(F640="",G640=""),"IC",VLOOKUP(I640,Scale[],2,1)))</f>
        <v/>
      </c>
    </row>
    <row r="641" spans="1:10" x14ac:dyDescent="0.35">
      <c r="A641" s="34"/>
      <c r="B641" s="35"/>
      <c r="C641" s="34"/>
      <c r="D641" s="34"/>
      <c r="E641" s="34"/>
      <c r="F641" s="46"/>
      <c r="G641" s="46"/>
      <c r="H641" s="14" t="str">
        <f>IF(Assessment_Sheet[[#This Row],[NAME ]]="","",ROUND((G641/60*40),0))</f>
        <v/>
      </c>
      <c r="I641" s="15" t="str">
        <f t="shared" si="10"/>
        <v/>
      </c>
      <c r="J641" s="16" t="str">
        <f>IF(B641="","",IF(OR(F641="",G641=""),"IC",VLOOKUP(I641,Scale[],2,1)))</f>
        <v/>
      </c>
    </row>
    <row r="642" spans="1:10" x14ac:dyDescent="0.35">
      <c r="A642" s="34"/>
      <c r="B642" s="35"/>
      <c r="C642" s="34"/>
      <c r="D642" s="34"/>
      <c r="E642" s="34"/>
      <c r="F642" s="46"/>
      <c r="G642" s="46"/>
      <c r="H642" s="14" t="str">
        <f>IF(Assessment_Sheet[[#This Row],[NAME ]]="","",ROUND((G642/60*40),0))</f>
        <v/>
      </c>
      <c r="I642" s="15" t="str">
        <f t="shared" si="10"/>
        <v/>
      </c>
      <c r="J642" s="16" t="str">
        <f>IF(B642="","",IF(OR(F642="",G642=""),"IC",VLOOKUP(I642,Scale[],2,1)))</f>
        <v/>
      </c>
    </row>
    <row r="643" spans="1:10" x14ac:dyDescent="0.35">
      <c r="A643" s="34"/>
      <c r="B643" s="35"/>
      <c r="C643" s="34"/>
      <c r="D643" s="34"/>
      <c r="E643" s="34"/>
      <c r="F643" s="46"/>
      <c r="G643" s="46"/>
      <c r="H643" s="14" t="str">
        <f>IF(Assessment_Sheet[[#This Row],[NAME ]]="","",ROUND((G643/60*40),0))</f>
        <v/>
      </c>
      <c r="I643" s="15" t="str">
        <f t="shared" si="10"/>
        <v/>
      </c>
      <c r="J643" s="16" t="str">
        <f>IF(B643="","",IF(OR(F643="",G643=""),"IC",VLOOKUP(I643,Scale[],2,1)))</f>
        <v/>
      </c>
    </row>
    <row r="644" spans="1:10" x14ac:dyDescent="0.35">
      <c r="A644" s="34"/>
      <c r="B644" s="35"/>
      <c r="C644" s="34"/>
      <c r="D644" s="34"/>
      <c r="E644" s="34"/>
      <c r="F644" s="46"/>
      <c r="G644" s="46"/>
      <c r="H644" s="14" t="str">
        <f>IF(Assessment_Sheet[[#This Row],[NAME ]]="","",ROUND((G644/60*40),0))</f>
        <v/>
      </c>
      <c r="I644" s="15" t="str">
        <f t="shared" si="10"/>
        <v/>
      </c>
      <c r="J644" s="16" t="str">
        <f>IF(B644="","",IF(OR(F644="",G644=""),"IC",VLOOKUP(I644,Scale[],2,1)))</f>
        <v/>
      </c>
    </row>
    <row r="645" spans="1:10" x14ac:dyDescent="0.35">
      <c r="A645" s="34"/>
      <c r="B645" s="35"/>
      <c r="C645" s="34"/>
      <c r="D645" s="34"/>
      <c r="E645" s="34"/>
      <c r="F645" s="46"/>
      <c r="G645" s="46"/>
      <c r="H645" s="14" t="str">
        <f>IF(Assessment_Sheet[[#This Row],[NAME ]]="","",ROUND((G645/60*40),0))</f>
        <v/>
      </c>
      <c r="I645" s="15" t="str">
        <f t="shared" si="10"/>
        <v/>
      </c>
      <c r="J645" s="16" t="str">
        <f>IF(B645="","",IF(OR(F645="",G645=""),"IC",VLOOKUP(I645,Scale[],2,1)))</f>
        <v/>
      </c>
    </row>
    <row r="646" spans="1:10" x14ac:dyDescent="0.35">
      <c r="A646" s="34"/>
      <c r="B646" s="35"/>
      <c r="C646" s="34"/>
      <c r="D646" s="34"/>
      <c r="E646" s="34"/>
      <c r="F646" s="46"/>
      <c r="G646" s="46"/>
      <c r="H646" s="14" t="str">
        <f>IF(Assessment_Sheet[[#This Row],[NAME ]]="","",ROUND((G646/60*40),0))</f>
        <v/>
      </c>
      <c r="I646" s="15" t="str">
        <f t="shared" si="10"/>
        <v/>
      </c>
      <c r="J646" s="16" t="str">
        <f>IF(B646="","",IF(OR(F646="",G646=""),"IC",VLOOKUP(I646,Scale[],2,1)))</f>
        <v/>
      </c>
    </row>
    <row r="647" spans="1:10" x14ac:dyDescent="0.35">
      <c r="A647" s="34"/>
      <c r="B647" s="35"/>
      <c r="C647" s="34"/>
      <c r="D647" s="34"/>
      <c r="E647" s="34"/>
      <c r="F647" s="46"/>
      <c r="G647" s="46"/>
      <c r="H647" s="14" t="str">
        <f>IF(Assessment_Sheet[[#This Row],[NAME ]]="","",ROUND((G647/60*40),0))</f>
        <v/>
      </c>
      <c r="I647" s="15" t="str">
        <f t="shared" si="10"/>
        <v/>
      </c>
      <c r="J647" s="16" t="str">
        <f>IF(B647="","",IF(OR(F647="",G647=""),"IC",VLOOKUP(I647,Scale[],2,1)))</f>
        <v/>
      </c>
    </row>
    <row r="648" spans="1:10" x14ac:dyDescent="0.35">
      <c r="A648" s="34"/>
      <c r="B648" s="35"/>
      <c r="C648" s="34"/>
      <c r="D648" s="34"/>
      <c r="E648" s="34"/>
      <c r="F648" s="46"/>
      <c r="G648" s="46"/>
      <c r="H648" s="14" t="str">
        <f>IF(Assessment_Sheet[[#This Row],[NAME ]]="","",ROUND((G648/60*40),0))</f>
        <v/>
      </c>
      <c r="I648" s="15" t="str">
        <f t="shared" ref="I648:I711" si="11">IFERROR(ROUND((F648+H648),0),"")</f>
        <v/>
      </c>
      <c r="J648" s="16" t="str">
        <f>IF(B648="","",IF(OR(F648="",G648=""),"IC",VLOOKUP(I648,Scale[],2,1)))</f>
        <v/>
      </c>
    </row>
    <row r="649" spans="1:10" x14ac:dyDescent="0.35">
      <c r="A649" s="34"/>
      <c r="B649" s="35"/>
      <c r="C649" s="34"/>
      <c r="D649" s="34"/>
      <c r="E649" s="34"/>
      <c r="F649" s="46"/>
      <c r="G649" s="46"/>
      <c r="H649" s="14" t="str">
        <f>IF(Assessment_Sheet[[#This Row],[NAME ]]="","",ROUND((G649/60*40),0))</f>
        <v/>
      </c>
      <c r="I649" s="15" t="str">
        <f t="shared" si="11"/>
        <v/>
      </c>
      <c r="J649" s="16" t="str">
        <f>IF(B649="","",IF(OR(F649="",G649=""),"IC",VLOOKUP(I649,Scale[],2,1)))</f>
        <v/>
      </c>
    </row>
    <row r="650" spans="1:10" x14ac:dyDescent="0.35">
      <c r="A650" s="34"/>
      <c r="B650" s="35"/>
      <c r="C650" s="34"/>
      <c r="D650" s="34"/>
      <c r="E650" s="34"/>
      <c r="F650" s="46"/>
      <c r="G650" s="46"/>
      <c r="H650" s="14" t="str">
        <f>IF(Assessment_Sheet[[#This Row],[NAME ]]="","",ROUND((G650/60*40),0))</f>
        <v/>
      </c>
      <c r="I650" s="15" t="str">
        <f t="shared" si="11"/>
        <v/>
      </c>
      <c r="J650" s="16" t="str">
        <f>IF(B650="","",IF(OR(F650="",G650=""),"IC",VLOOKUP(I650,Scale[],2,1)))</f>
        <v/>
      </c>
    </row>
    <row r="651" spans="1:10" x14ac:dyDescent="0.35">
      <c r="A651" s="34"/>
      <c r="B651" s="35"/>
      <c r="C651" s="34"/>
      <c r="D651" s="34"/>
      <c r="E651" s="34"/>
      <c r="F651" s="46"/>
      <c r="G651" s="46"/>
      <c r="H651" s="14" t="str">
        <f>IF(Assessment_Sheet[[#This Row],[NAME ]]="","",ROUND((G651/60*40),0))</f>
        <v/>
      </c>
      <c r="I651" s="15" t="str">
        <f t="shared" si="11"/>
        <v/>
      </c>
      <c r="J651" s="16" t="str">
        <f>IF(B651="","",IF(OR(F651="",G651=""),"IC",VLOOKUP(I651,Scale[],2,1)))</f>
        <v/>
      </c>
    </row>
    <row r="652" spans="1:10" x14ac:dyDescent="0.35">
      <c r="A652" s="34"/>
      <c r="B652" s="35"/>
      <c r="C652" s="34"/>
      <c r="D652" s="34"/>
      <c r="E652" s="34"/>
      <c r="F652" s="46"/>
      <c r="G652" s="46"/>
      <c r="H652" s="14" t="str">
        <f>IF(Assessment_Sheet[[#This Row],[NAME ]]="","",ROUND((G652/60*40),0))</f>
        <v/>
      </c>
      <c r="I652" s="15" t="str">
        <f t="shared" si="11"/>
        <v/>
      </c>
      <c r="J652" s="16" t="str">
        <f>IF(B652="","",IF(OR(F652="",G652=""),"IC",VLOOKUP(I652,Scale[],2,1)))</f>
        <v/>
      </c>
    </row>
    <row r="653" spans="1:10" x14ac:dyDescent="0.35">
      <c r="A653" s="34"/>
      <c r="B653" s="35"/>
      <c r="C653" s="34"/>
      <c r="D653" s="34"/>
      <c r="E653" s="34"/>
      <c r="F653" s="46"/>
      <c r="G653" s="46"/>
      <c r="H653" s="14" t="str">
        <f>IF(Assessment_Sheet[[#This Row],[NAME ]]="","",ROUND((G653/60*40),0))</f>
        <v/>
      </c>
      <c r="I653" s="15" t="str">
        <f t="shared" si="11"/>
        <v/>
      </c>
      <c r="J653" s="16" t="str">
        <f>IF(B653="","",IF(OR(F653="",G653=""),"IC",VLOOKUP(I653,Scale[],2,1)))</f>
        <v/>
      </c>
    </row>
    <row r="654" spans="1:10" x14ac:dyDescent="0.35">
      <c r="A654" s="34"/>
      <c r="B654" s="35"/>
      <c r="C654" s="34"/>
      <c r="D654" s="34"/>
      <c r="E654" s="34"/>
      <c r="F654" s="46"/>
      <c r="G654" s="46"/>
      <c r="H654" s="14" t="str">
        <f>IF(Assessment_Sheet[[#This Row],[NAME ]]="","",ROUND((G654/60*40),0))</f>
        <v/>
      </c>
      <c r="I654" s="15" t="str">
        <f t="shared" si="11"/>
        <v/>
      </c>
      <c r="J654" s="16" t="str">
        <f>IF(B654="","",IF(OR(F654="",G654=""),"IC",VLOOKUP(I654,Scale[],2,1)))</f>
        <v/>
      </c>
    </row>
    <row r="655" spans="1:10" x14ac:dyDescent="0.35">
      <c r="A655" s="34"/>
      <c r="B655" s="35"/>
      <c r="C655" s="34"/>
      <c r="D655" s="34"/>
      <c r="E655" s="34"/>
      <c r="F655" s="46"/>
      <c r="G655" s="46"/>
      <c r="H655" s="14" t="str">
        <f>IF(Assessment_Sheet[[#This Row],[NAME ]]="","",ROUND((G655/60*40),0))</f>
        <v/>
      </c>
      <c r="I655" s="15" t="str">
        <f t="shared" si="11"/>
        <v/>
      </c>
      <c r="J655" s="16" t="str">
        <f>IF(B655="","",IF(OR(F655="",G655=""),"IC",VLOOKUP(I655,Scale[],2,1)))</f>
        <v/>
      </c>
    </row>
    <row r="656" spans="1:10" x14ac:dyDescent="0.35">
      <c r="A656" s="34"/>
      <c r="B656" s="35"/>
      <c r="C656" s="34"/>
      <c r="D656" s="34"/>
      <c r="E656" s="34"/>
      <c r="F656" s="46"/>
      <c r="G656" s="46"/>
      <c r="H656" s="14" t="str">
        <f>IF(Assessment_Sheet[[#This Row],[NAME ]]="","",ROUND((G656/60*40),0))</f>
        <v/>
      </c>
      <c r="I656" s="15" t="str">
        <f t="shared" si="11"/>
        <v/>
      </c>
      <c r="J656" s="16" t="str">
        <f>IF(B656="","",IF(OR(F656="",G656=""),"IC",VLOOKUP(I656,Scale[],2,1)))</f>
        <v/>
      </c>
    </row>
    <row r="657" spans="1:10" x14ac:dyDescent="0.35">
      <c r="A657" s="34"/>
      <c r="B657" s="35"/>
      <c r="C657" s="34"/>
      <c r="D657" s="34"/>
      <c r="E657" s="34"/>
      <c r="F657" s="46"/>
      <c r="G657" s="46"/>
      <c r="H657" s="14" t="str">
        <f>IF(Assessment_Sheet[[#This Row],[NAME ]]="","",ROUND((G657/60*40),0))</f>
        <v/>
      </c>
      <c r="I657" s="15" t="str">
        <f t="shared" si="11"/>
        <v/>
      </c>
      <c r="J657" s="16" t="str">
        <f>IF(B657="","",IF(OR(F657="",G657=""),"IC",VLOOKUP(I657,Scale[],2,1)))</f>
        <v/>
      </c>
    </row>
    <row r="658" spans="1:10" x14ac:dyDescent="0.35">
      <c r="A658" s="34"/>
      <c r="B658" s="35"/>
      <c r="C658" s="34"/>
      <c r="D658" s="34"/>
      <c r="E658" s="34"/>
      <c r="F658" s="46"/>
      <c r="G658" s="46"/>
      <c r="H658" s="14" t="str">
        <f>IF(Assessment_Sheet[[#This Row],[NAME ]]="","",ROUND((G658/60*40),0))</f>
        <v/>
      </c>
      <c r="I658" s="15" t="str">
        <f t="shared" si="11"/>
        <v/>
      </c>
      <c r="J658" s="16" t="str">
        <f>IF(B658="","",IF(OR(F658="",G658=""),"IC",VLOOKUP(I658,Scale[],2,1)))</f>
        <v/>
      </c>
    </row>
    <row r="659" spans="1:10" x14ac:dyDescent="0.35">
      <c r="A659" s="34"/>
      <c r="B659" s="35"/>
      <c r="C659" s="34"/>
      <c r="D659" s="34"/>
      <c r="E659" s="34"/>
      <c r="F659" s="46"/>
      <c r="G659" s="46"/>
      <c r="H659" s="14" t="str">
        <f>IF(Assessment_Sheet[[#This Row],[NAME ]]="","",ROUND((G659/60*40),0))</f>
        <v/>
      </c>
      <c r="I659" s="15" t="str">
        <f t="shared" si="11"/>
        <v/>
      </c>
      <c r="J659" s="16" t="str">
        <f>IF(B659="","",IF(OR(F659="",G659=""),"IC",VLOOKUP(I659,Scale[],2,1)))</f>
        <v/>
      </c>
    </row>
    <row r="660" spans="1:10" x14ac:dyDescent="0.35">
      <c r="A660" s="34"/>
      <c r="B660" s="35"/>
      <c r="C660" s="34"/>
      <c r="D660" s="34"/>
      <c r="E660" s="34"/>
      <c r="F660" s="46"/>
      <c r="G660" s="46"/>
      <c r="H660" s="14" t="str">
        <f>IF(Assessment_Sheet[[#This Row],[NAME ]]="","",ROUND((G660/60*40),0))</f>
        <v/>
      </c>
      <c r="I660" s="15" t="str">
        <f t="shared" si="11"/>
        <v/>
      </c>
      <c r="J660" s="16" t="str">
        <f>IF(B660="","",IF(OR(F660="",G660=""),"IC",VLOOKUP(I660,Scale[],2,1)))</f>
        <v/>
      </c>
    </row>
    <row r="661" spans="1:10" x14ac:dyDescent="0.35">
      <c r="A661" s="34"/>
      <c r="B661" s="35"/>
      <c r="C661" s="34"/>
      <c r="D661" s="34"/>
      <c r="E661" s="34"/>
      <c r="F661" s="46"/>
      <c r="G661" s="46"/>
      <c r="H661" s="14" t="str">
        <f>IF(Assessment_Sheet[[#This Row],[NAME ]]="","",ROUND((G661/60*40),0))</f>
        <v/>
      </c>
      <c r="I661" s="15" t="str">
        <f t="shared" si="11"/>
        <v/>
      </c>
      <c r="J661" s="16" t="str">
        <f>IF(B661="","",IF(OR(F661="",G661=""),"IC",VLOOKUP(I661,Scale[],2,1)))</f>
        <v/>
      </c>
    </row>
    <row r="662" spans="1:10" x14ac:dyDescent="0.35">
      <c r="A662" s="34"/>
      <c r="B662" s="35"/>
      <c r="C662" s="34"/>
      <c r="D662" s="34"/>
      <c r="E662" s="34"/>
      <c r="F662" s="46"/>
      <c r="G662" s="46"/>
      <c r="H662" s="14" t="str">
        <f>IF(Assessment_Sheet[[#This Row],[NAME ]]="","",ROUND((G662/60*40),0))</f>
        <v/>
      </c>
      <c r="I662" s="15" t="str">
        <f t="shared" si="11"/>
        <v/>
      </c>
      <c r="J662" s="16" t="str">
        <f>IF(B662="","",IF(OR(F662="",G662=""),"IC",VLOOKUP(I662,Scale[],2,1)))</f>
        <v/>
      </c>
    </row>
    <row r="663" spans="1:10" x14ac:dyDescent="0.35">
      <c r="A663" s="34"/>
      <c r="B663" s="35"/>
      <c r="C663" s="34"/>
      <c r="D663" s="34"/>
      <c r="E663" s="34"/>
      <c r="F663" s="46"/>
      <c r="G663" s="46"/>
      <c r="H663" s="14" t="str">
        <f>IF(Assessment_Sheet[[#This Row],[NAME ]]="","",ROUND((G663/60*40),0))</f>
        <v/>
      </c>
      <c r="I663" s="15" t="str">
        <f t="shared" si="11"/>
        <v/>
      </c>
      <c r="J663" s="16" t="str">
        <f>IF(B663="","",IF(OR(F663="",G663=""),"IC",VLOOKUP(I663,Scale[],2,1)))</f>
        <v/>
      </c>
    </row>
    <row r="664" spans="1:10" x14ac:dyDescent="0.35">
      <c r="A664" s="34"/>
      <c r="B664" s="35"/>
      <c r="C664" s="34"/>
      <c r="D664" s="34"/>
      <c r="E664" s="34"/>
      <c r="F664" s="46"/>
      <c r="G664" s="46"/>
      <c r="H664" s="14" t="str">
        <f>IF(Assessment_Sheet[[#This Row],[NAME ]]="","",ROUND((G664/60*40),0))</f>
        <v/>
      </c>
      <c r="I664" s="15" t="str">
        <f t="shared" si="11"/>
        <v/>
      </c>
      <c r="J664" s="16" t="str">
        <f>IF(B664="","",IF(OR(F664="",G664=""),"IC",VLOOKUP(I664,Scale[],2,1)))</f>
        <v/>
      </c>
    </row>
    <row r="665" spans="1:10" x14ac:dyDescent="0.35">
      <c r="A665" s="34"/>
      <c r="B665" s="35"/>
      <c r="C665" s="34"/>
      <c r="D665" s="34"/>
      <c r="E665" s="34"/>
      <c r="F665" s="46"/>
      <c r="G665" s="46"/>
      <c r="H665" s="14" t="str">
        <f>IF(Assessment_Sheet[[#This Row],[NAME ]]="","",ROUND((G665/60*40),0))</f>
        <v/>
      </c>
      <c r="I665" s="15" t="str">
        <f t="shared" si="11"/>
        <v/>
      </c>
      <c r="J665" s="16" t="str">
        <f>IF(B665="","",IF(OR(F665="",G665=""),"IC",VLOOKUP(I665,Scale[],2,1)))</f>
        <v/>
      </c>
    </row>
    <row r="666" spans="1:10" x14ac:dyDescent="0.35">
      <c r="A666" s="34"/>
      <c r="B666" s="35"/>
      <c r="C666" s="34"/>
      <c r="D666" s="34"/>
      <c r="E666" s="34"/>
      <c r="F666" s="46"/>
      <c r="G666" s="46"/>
      <c r="H666" s="14" t="str">
        <f>IF(Assessment_Sheet[[#This Row],[NAME ]]="","",ROUND((G666/60*40),0))</f>
        <v/>
      </c>
      <c r="I666" s="15" t="str">
        <f t="shared" si="11"/>
        <v/>
      </c>
      <c r="J666" s="16" t="str">
        <f>IF(B666="","",IF(OR(F666="",G666=""),"IC",VLOOKUP(I666,Scale[],2,1)))</f>
        <v/>
      </c>
    </row>
    <row r="667" spans="1:10" x14ac:dyDescent="0.35">
      <c r="A667" s="34"/>
      <c r="B667" s="35"/>
      <c r="C667" s="34"/>
      <c r="D667" s="34"/>
      <c r="E667" s="34"/>
      <c r="F667" s="46"/>
      <c r="G667" s="46"/>
      <c r="H667" s="14" t="str">
        <f>IF(Assessment_Sheet[[#This Row],[NAME ]]="","",ROUND((G667/60*40),0))</f>
        <v/>
      </c>
      <c r="I667" s="15" t="str">
        <f t="shared" si="11"/>
        <v/>
      </c>
      <c r="J667" s="16" t="str">
        <f>IF(B667="","",IF(OR(F667="",G667=""),"IC",VLOOKUP(I667,Scale[],2,1)))</f>
        <v/>
      </c>
    </row>
    <row r="668" spans="1:10" x14ac:dyDescent="0.35">
      <c r="A668" s="34"/>
      <c r="B668" s="35"/>
      <c r="C668" s="34"/>
      <c r="D668" s="34"/>
      <c r="E668" s="34"/>
      <c r="F668" s="46"/>
      <c r="G668" s="46"/>
      <c r="H668" s="14" t="str">
        <f>IF(Assessment_Sheet[[#This Row],[NAME ]]="","",ROUND((G668/60*40),0))</f>
        <v/>
      </c>
      <c r="I668" s="15" t="str">
        <f t="shared" si="11"/>
        <v/>
      </c>
      <c r="J668" s="16" t="str">
        <f>IF(B668="","",IF(OR(F668="",G668=""),"IC",VLOOKUP(I668,Scale[],2,1)))</f>
        <v/>
      </c>
    </row>
    <row r="669" spans="1:10" x14ac:dyDescent="0.35">
      <c r="A669" s="34"/>
      <c r="B669" s="35"/>
      <c r="C669" s="34"/>
      <c r="D669" s="34"/>
      <c r="E669" s="34"/>
      <c r="F669" s="46"/>
      <c r="G669" s="46"/>
      <c r="H669" s="14" t="str">
        <f>IF(Assessment_Sheet[[#This Row],[NAME ]]="","",ROUND((G669/60*40),0))</f>
        <v/>
      </c>
      <c r="I669" s="15" t="str">
        <f t="shared" si="11"/>
        <v/>
      </c>
      <c r="J669" s="16" t="str">
        <f>IF(B669="","",IF(OR(F669="",G669=""),"IC",VLOOKUP(I669,Scale[],2,1)))</f>
        <v/>
      </c>
    </row>
    <row r="670" spans="1:10" x14ac:dyDescent="0.35">
      <c r="A670" s="34"/>
      <c r="B670" s="35"/>
      <c r="C670" s="34"/>
      <c r="D670" s="34"/>
      <c r="E670" s="34"/>
      <c r="F670" s="46"/>
      <c r="G670" s="46"/>
      <c r="H670" s="14" t="str">
        <f>IF(Assessment_Sheet[[#This Row],[NAME ]]="","",ROUND((G670/60*40),0))</f>
        <v/>
      </c>
      <c r="I670" s="15" t="str">
        <f t="shared" si="11"/>
        <v/>
      </c>
      <c r="J670" s="16" t="str">
        <f>IF(B670="","",IF(OR(F670="",G670=""),"IC",VLOOKUP(I670,Scale[],2,1)))</f>
        <v/>
      </c>
    </row>
    <row r="671" spans="1:10" x14ac:dyDescent="0.35">
      <c r="A671" s="34"/>
      <c r="B671" s="35"/>
      <c r="C671" s="34"/>
      <c r="D671" s="34"/>
      <c r="E671" s="34"/>
      <c r="F671" s="46"/>
      <c r="G671" s="46"/>
      <c r="H671" s="14" t="str">
        <f>IF(Assessment_Sheet[[#This Row],[NAME ]]="","",ROUND((G671/60*40),0))</f>
        <v/>
      </c>
      <c r="I671" s="15" t="str">
        <f t="shared" si="11"/>
        <v/>
      </c>
      <c r="J671" s="16" t="str">
        <f>IF(B671="","",IF(OR(F671="",G671=""),"IC",VLOOKUP(I671,Scale[],2,1)))</f>
        <v/>
      </c>
    </row>
    <row r="672" spans="1:10" x14ac:dyDescent="0.35">
      <c r="A672" s="34"/>
      <c r="B672" s="35"/>
      <c r="C672" s="34"/>
      <c r="D672" s="34"/>
      <c r="E672" s="34"/>
      <c r="F672" s="46"/>
      <c r="G672" s="46"/>
      <c r="H672" s="14" t="str">
        <f>IF(Assessment_Sheet[[#This Row],[NAME ]]="","",ROUND((G672/60*40),0))</f>
        <v/>
      </c>
      <c r="I672" s="15" t="str">
        <f t="shared" si="11"/>
        <v/>
      </c>
      <c r="J672" s="16" t="str">
        <f>IF(B672="","",IF(OR(F672="",G672=""),"IC",VLOOKUP(I672,Scale[],2,1)))</f>
        <v/>
      </c>
    </row>
    <row r="673" spans="1:10" x14ac:dyDescent="0.35">
      <c r="A673" s="34"/>
      <c r="B673" s="35"/>
      <c r="C673" s="34"/>
      <c r="D673" s="34"/>
      <c r="E673" s="34"/>
      <c r="F673" s="46"/>
      <c r="G673" s="46"/>
      <c r="H673" s="14" t="str">
        <f>IF(Assessment_Sheet[[#This Row],[NAME ]]="","",ROUND((G673/60*40),0))</f>
        <v/>
      </c>
      <c r="I673" s="15" t="str">
        <f t="shared" si="11"/>
        <v/>
      </c>
      <c r="J673" s="16" t="str">
        <f>IF(B673="","",IF(OR(F673="",G673=""),"IC",VLOOKUP(I673,Scale[],2,1)))</f>
        <v/>
      </c>
    </row>
    <row r="674" spans="1:10" x14ac:dyDescent="0.35">
      <c r="A674" s="34"/>
      <c r="B674" s="35"/>
      <c r="C674" s="34"/>
      <c r="D674" s="34"/>
      <c r="E674" s="34"/>
      <c r="F674" s="46"/>
      <c r="G674" s="46"/>
      <c r="H674" s="14" t="str">
        <f>IF(Assessment_Sheet[[#This Row],[NAME ]]="","",ROUND((G674/60*40),0))</f>
        <v/>
      </c>
      <c r="I674" s="15" t="str">
        <f t="shared" si="11"/>
        <v/>
      </c>
      <c r="J674" s="16" t="str">
        <f>IF(B674="","",IF(OR(F674="",G674=""),"IC",VLOOKUP(I674,Scale[],2,1)))</f>
        <v/>
      </c>
    </row>
    <row r="675" spans="1:10" x14ac:dyDescent="0.35">
      <c r="A675" s="34"/>
      <c r="B675" s="35"/>
      <c r="C675" s="34"/>
      <c r="D675" s="34"/>
      <c r="E675" s="34"/>
      <c r="F675" s="46"/>
      <c r="G675" s="46"/>
      <c r="H675" s="14" t="str">
        <f>IF(Assessment_Sheet[[#This Row],[NAME ]]="","",ROUND((G675/60*40),0))</f>
        <v/>
      </c>
      <c r="I675" s="15" t="str">
        <f t="shared" si="11"/>
        <v/>
      </c>
      <c r="J675" s="16" t="str">
        <f>IF(B675="","",IF(OR(F675="",G675=""),"IC",VLOOKUP(I675,Scale[],2,1)))</f>
        <v/>
      </c>
    </row>
    <row r="676" spans="1:10" x14ac:dyDescent="0.35">
      <c r="A676" s="34"/>
      <c r="B676" s="35"/>
      <c r="C676" s="34"/>
      <c r="D676" s="34"/>
      <c r="E676" s="34"/>
      <c r="F676" s="46"/>
      <c r="G676" s="46"/>
      <c r="H676" s="14" t="str">
        <f>IF(Assessment_Sheet[[#This Row],[NAME ]]="","",ROUND((G676/60*40),0))</f>
        <v/>
      </c>
      <c r="I676" s="15" t="str">
        <f t="shared" si="11"/>
        <v/>
      </c>
      <c r="J676" s="16" t="str">
        <f>IF(B676="","",IF(OR(F676="",G676=""),"IC",VLOOKUP(I676,Scale[],2,1)))</f>
        <v/>
      </c>
    </row>
    <row r="677" spans="1:10" x14ac:dyDescent="0.35">
      <c r="A677" s="34"/>
      <c r="B677" s="35"/>
      <c r="C677" s="34"/>
      <c r="D677" s="34"/>
      <c r="E677" s="34"/>
      <c r="F677" s="46"/>
      <c r="G677" s="46"/>
      <c r="H677" s="14" t="str">
        <f>IF(Assessment_Sheet[[#This Row],[NAME ]]="","",ROUND((G677/60*40),0))</f>
        <v/>
      </c>
      <c r="I677" s="15" t="str">
        <f t="shared" si="11"/>
        <v/>
      </c>
      <c r="J677" s="16" t="str">
        <f>IF(B677="","",IF(OR(F677="",G677=""),"IC",VLOOKUP(I677,Scale[],2,1)))</f>
        <v/>
      </c>
    </row>
    <row r="678" spans="1:10" x14ac:dyDescent="0.35">
      <c r="A678" s="34"/>
      <c r="B678" s="35"/>
      <c r="C678" s="34"/>
      <c r="D678" s="34"/>
      <c r="E678" s="34"/>
      <c r="F678" s="46"/>
      <c r="G678" s="46"/>
      <c r="H678" s="14" t="str">
        <f>IF(Assessment_Sheet[[#This Row],[NAME ]]="","",ROUND((G678/60*40),0))</f>
        <v/>
      </c>
      <c r="I678" s="15" t="str">
        <f t="shared" si="11"/>
        <v/>
      </c>
      <c r="J678" s="16" t="str">
        <f>IF(B678="","",IF(OR(F678="",G678=""),"IC",VLOOKUP(I678,Scale[],2,1)))</f>
        <v/>
      </c>
    </row>
    <row r="679" spans="1:10" x14ac:dyDescent="0.35">
      <c r="A679" s="34"/>
      <c r="B679" s="35"/>
      <c r="C679" s="34"/>
      <c r="D679" s="34"/>
      <c r="E679" s="34"/>
      <c r="F679" s="46"/>
      <c r="G679" s="46"/>
      <c r="H679" s="14" t="str">
        <f>IF(Assessment_Sheet[[#This Row],[NAME ]]="","",ROUND((G679/60*40),0))</f>
        <v/>
      </c>
      <c r="I679" s="15" t="str">
        <f t="shared" si="11"/>
        <v/>
      </c>
      <c r="J679" s="16" t="str">
        <f>IF(B679="","",IF(OR(F679="",G679=""),"IC",VLOOKUP(I679,Scale[],2,1)))</f>
        <v/>
      </c>
    </row>
    <row r="680" spans="1:10" x14ac:dyDescent="0.35">
      <c r="A680" s="34"/>
      <c r="B680" s="35"/>
      <c r="C680" s="34"/>
      <c r="D680" s="34"/>
      <c r="E680" s="34"/>
      <c r="F680" s="46"/>
      <c r="G680" s="46"/>
      <c r="H680" s="14" t="str">
        <f>IF(Assessment_Sheet[[#This Row],[NAME ]]="","",ROUND((G680/60*40),0))</f>
        <v/>
      </c>
      <c r="I680" s="15" t="str">
        <f t="shared" si="11"/>
        <v/>
      </c>
      <c r="J680" s="16" t="str">
        <f>IF(B680="","",IF(OR(F680="",G680=""),"IC",VLOOKUP(I680,Scale[],2,1)))</f>
        <v/>
      </c>
    </row>
    <row r="681" spans="1:10" x14ac:dyDescent="0.35">
      <c r="A681" s="34"/>
      <c r="B681" s="35"/>
      <c r="C681" s="34"/>
      <c r="D681" s="34"/>
      <c r="E681" s="34"/>
      <c r="F681" s="46"/>
      <c r="G681" s="46"/>
      <c r="H681" s="14" t="str">
        <f>IF(Assessment_Sheet[[#This Row],[NAME ]]="","",ROUND((G681/60*40),0))</f>
        <v/>
      </c>
      <c r="I681" s="15" t="str">
        <f t="shared" si="11"/>
        <v/>
      </c>
      <c r="J681" s="16" t="str">
        <f>IF(B681="","",IF(OR(F681="",G681=""),"IC",VLOOKUP(I681,Scale[],2,1)))</f>
        <v/>
      </c>
    </row>
    <row r="682" spans="1:10" x14ac:dyDescent="0.35">
      <c r="A682" s="34"/>
      <c r="B682" s="35"/>
      <c r="C682" s="34"/>
      <c r="D682" s="34"/>
      <c r="E682" s="34"/>
      <c r="F682" s="46"/>
      <c r="G682" s="46"/>
      <c r="H682" s="14" t="str">
        <f>IF(Assessment_Sheet[[#This Row],[NAME ]]="","",ROUND((G682/60*40),0))</f>
        <v/>
      </c>
      <c r="I682" s="15" t="str">
        <f t="shared" si="11"/>
        <v/>
      </c>
      <c r="J682" s="16" t="str">
        <f>IF(B682="","",IF(OR(F682="",G682=""),"IC",VLOOKUP(I682,Scale[],2,1)))</f>
        <v/>
      </c>
    </row>
    <row r="683" spans="1:10" x14ac:dyDescent="0.35">
      <c r="A683" s="34"/>
      <c r="B683" s="35"/>
      <c r="C683" s="34"/>
      <c r="D683" s="34"/>
      <c r="E683" s="34"/>
      <c r="F683" s="46"/>
      <c r="G683" s="46"/>
      <c r="H683" s="14" t="str">
        <f>IF(Assessment_Sheet[[#This Row],[NAME ]]="","",ROUND((G683/60*40),0))</f>
        <v/>
      </c>
      <c r="I683" s="15" t="str">
        <f t="shared" si="11"/>
        <v/>
      </c>
      <c r="J683" s="16" t="str">
        <f>IF(B683="","",IF(OR(F683="",G683=""),"IC",VLOOKUP(I683,Scale[],2,1)))</f>
        <v/>
      </c>
    </row>
    <row r="684" spans="1:10" x14ac:dyDescent="0.35">
      <c r="A684" s="34"/>
      <c r="B684" s="35"/>
      <c r="C684" s="34"/>
      <c r="D684" s="34"/>
      <c r="E684" s="34"/>
      <c r="F684" s="46"/>
      <c r="G684" s="46"/>
      <c r="H684" s="14" t="str">
        <f>IF(Assessment_Sheet[[#This Row],[NAME ]]="","",ROUND((G684/60*40),0))</f>
        <v/>
      </c>
      <c r="I684" s="15" t="str">
        <f t="shared" si="11"/>
        <v/>
      </c>
      <c r="J684" s="16" t="str">
        <f>IF(B684="","",IF(OR(F684="",G684=""),"IC",VLOOKUP(I684,Scale[],2,1)))</f>
        <v/>
      </c>
    </row>
    <row r="685" spans="1:10" x14ac:dyDescent="0.35">
      <c r="A685" s="34"/>
      <c r="B685" s="35"/>
      <c r="C685" s="34"/>
      <c r="D685" s="34"/>
      <c r="E685" s="34"/>
      <c r="F685" s="46"/>
      <c r="G685" s="46"/>
      <c r="H685" s="14" t="str">
        <f>IF(Assessment_Sheet[[#This Row],[NAME ]]="","",ROUND((G685/60*40),0))</f>
        <v/>
      </c>
      <c r="I685" s="15" t="str">
        <f t="shared" si="11"/>
        <v/>
      </c>
      <c r="J685" s="16" t="str">
        <f>IF(B685="","",IF(OR(F685="",G685=""),"IC",VLOOKUP(I685,Scale[],2,1)))</f>
        <v/>
      </c>
    </row>
    <row r="686" spans="1:10" x14ac:dyDescent="0.35">
      <c r="A686" s="34"/>
      <c r="B686" s="35"/>
      <c r="C686" s="34"/>
      <c r="D686" s="34"/>
      <c r="E686" s="34"/>
      <c r="F686" s="46"/>
      <c r="G686" s="46"/>
      <c r="H686" s="14" t="str">
        <f>IF(Assessment_Sheet[[#This Row],[NAME ]]="","",ROUND((G686/60*40),0))</f>
        <v/>
      </c>
      <c r="I686" s="15" t="str">
        <f t="shared" si="11"/>
        <v/>
      </c>
      <c r="J686" s="16" t="str">
        <f>IF(B686="","",IF(OR(F686="",G686=""),"IC",VLOOKUP(I686,Scale[],2,1)))</f>
        <v/>
      </c>
    </row>
    <row r="687" spans="1:10" x14ac:dyDescent="0.35">
      <c r="A687" s="34"/>
      <c r="B687" s="35"/>
      <c r="C687" s="34"/>
      <c r="D687" s="34"/>
      <c r="E687" s="34"/>
      <c r="F687" s="46"/>
      <c r="G687" s="46"/>
      <c r="H687" s="14" t="str">
        <f>IF(Assessment_Sheet[[#This Row],[NAME ]]="","",ROUND((G687/60*40),0))</f>
        <v/>
      </c>
      <c r="I687" s="15" t="str">
        <f t="shared" si="11"/>
        <v/>
      </c>
      <c r="J687" s="16" t="str">
        <f>IF(B687="","",IF(OR(F687="",G687=""),"IC",VLOOKUP(I687,Scale[],2,1)))</f>
        <v/>
      </c>
    </row>
    <row r="688" spans="1:10" x14ac:dyDescent="0.35">
      <c r="A688" s="34"/>
      <c r="B688" s="35"/>
      <c r="C688" s="34"/>
      <c r="D688" s="34"/>
      <c r="E688" s="34"/>
      <c r="F688" s="46"/>
      <c r="G688" s="46"/>
      <c r="H688" s="14" t="str">
        <f>IF(Assessment_Sheet[[#This Row],[NAME ]]="","",ROUND((G688/60*40),0))</f>
        <v/>
      </c>
      <c r="I688" s="15" t="str">
        <f t="shared" si="11"/>
        <v/>
      </c>
      <c r="J688" s="16" t="str">
        <f>IF(B688="","",IF(OR(F688="",G688=""),"IC",VLOOKUP(I688,Scale[],2,1)))</f>
        <v/>
      </c>
    </row>
    <row r="689" spans="1:10" x14ac:dyDescent="0.35">
      <c r="A689" s="34"/>
      <c r="B689" s="35"/>
      <c r="C689" s="34"/>
      <c r="D689" s="34"/>
      <c r="E689" s="34"/>
      <c r="F689" s="46"/>
      <c r="G689" s="46"/>
      <c r="H689" s="14" t="str">
        <f>IF(Assessment_Sheet[[#This Row],[NAME ]]="","",ROUND((G689/60*40),0))</f>
        <v/>
      </c>
      <c r="I689" s="15" t="str">
        <f t="shared" si="11"/>
        <v/>
      </c>
      <c r="J689" s="16" t="str">
        <f>IF(B689="","",IF(OR(F689="",G689=""),"IC",VLOOKUP(I689,Scale[],2,1)))</f>
        <v/>
      </c>
    </row>
    <row r="690" spans="1:10" x14ac:dyDescent="0.35">
      <c r="A690" s="34"/>
      <c r="B690" s="35"/>
      <c r="C690" s="34"/>
      <c r="D690" s="34"/>
      <c r="E690" s="34"/>
      <c r="F690" s="46"/>
      <c r="G690" s="46"/>
      <c r="H690" s="14" t="str">
        <f>IF(Assessment_Sheet[[#This Row],[NAME ]]="","",ROUND((G690/60*40),0))</f>
        <v/>
      </c>
      <c r="I690" s="15" t="str">
        <f t="shared" si="11"/>
        <v/>
      </c>
      <c r="J690" s="16" t="str">
        <f>IF(B690="","",IF(OR(F690="",G690=""),"IC",VLOOKUP(I690,Scale[],2,1)))</f>
        <v/>
      </c>
    </row>
    <row r="691" spans="1:10" x14ac:dyDescent="0.35">
      <c r="A691" s="34"/>
      <c r="B691" s="35"/>
      <c r="C691" s="34"/>
      <c r="D691" s="34"/>
      <c r="E691" s="34"/>
      <c r="F691" s="46"/>
      <c r="G691" s="46"/>
      <c r="H691" s="14" t="str">
        <f>IF(Assessment_Sheet[[#This Row],[NAME ]]="","",ROUND((G691/60*40),0))</f>
        <v/>
      </c>
      <c r="I691" s="15" t="str">
        <f t="shared" si="11"/>
        <v/>
      </c>
      <c r="J691" s="16" t="str">
        <f>IF(B691="","",IF(OR(F691="",G691=""),"IC",VLOOKUP(I691,Scale[],2,1)))</f>
        <v/>
      </c>
    </row>
    <row r="692" spans="1:10" x14ac:dyDescent="0.35">
      <c r="A692" s="34"/>
      <c r="B692" s="35"/>
      <c r="C692" s="34"/>
      <c r="D692" s="34"/>
      <c r="E692" s="34"/>
      <c r="F692" s="46"/>
      <c r="G692" s="46"/>
      <c r="H692" s="14" t="str">
        <f>IF(Assessment_Sheet[[#This Row],[NAME ]]="","",ROUND((G692/60*40),0))</f>
        <v/>
      </c>
      <c r="I692" s="15" t="str">
        <f t="shared" si="11"/>
        <v/>
      </c>
      <c r="J692" s="16" t="str">
        <f>IF(B692="","",IF(OR(F692="",G692=""),"IC",VLOOKUP(I692,Scale[],2,1)))</f>
        <v/>
      </c>
    </row>
    <row r="693" spans="1:10" x14ac:dyDescent="0.35">
      <c r="A693" s="34"/>
      <c r="B693" s="35"/>
      <c r="C693" s="34"/>
      <c r="D693" s="34"/>
      <c r="E693" s="34"/>
      <c r="F693" s="46"/>
      <c r="G693" s="46"/>
      <c r="H693" s="14" t="str">
        <f>IF(Assessment_Sheet[[#This Row],[NAME ]]="","",ROUND((G693/60*40),0))</f>
        <v/>
      </c>
      <c r="I693" s="15" t="str">
        <f t="shared" si="11"/>
        <v/>
      </c>
      <c r="J693" s="16" t="str">
        <f>IF(B693="","",IF(OR(F693="",G693=""),"IC",VLOOKUP(I693,Scale[],2,1)))</f>
        <v/>
      </c>
    </row>
    <row r="694" spans="1:10" x14ac:dyDescent="0.35">
      <c r="A694" s="34"/>
      <c r="B694" s="35"/>
      <c r="C694" s="34"/>
      <c r="D694" s="34"/>
      <c r="E694" s="34"/>
      <c r="F694" s="46"/>
      <c r="G694" s="46"/>
      <c r="H694" s="14" t="str">
        <f>IF(Assessment_Sheet[[#This Row],[NAME ]]="","",ROUND((G694/60*40),0))</f>
        <v/>
      </c>
      <c r="I694" s="15" t="str">
        <f t="shared" si="11"/>
        <v/>
      </c>
      <c r="J694" s="16" t="str">
        <f>IF(B694="","",IF(OR(F694="",G694=""),"IC",VLOOKUP(I694,Scale[],2,1)))</f>
        <v/>
      </c>
    </row>
    <row r="695" spans="1:10" x14ac:dyDescent="0.35">
      <c r="A695" s="34"/>
      <c r="B695" s="35"/>
      <c r="C695" s="34"/>
      <c r="D695" s="34"/>
      <c r="E695" s="34"/>
      <c r="F695" s="46"/>
      <c r="G695" s="46"/>
      <c r="H695" s="14" t="str">
        <f>IF(Assessment_Sheet[[#This Row],[NAME ]]="","",ROUND((G695/60*40),0))</f>
        <v/>
      </c>
      <c r="I695" s="15" t="str">
        <f t="shared" si="11"/>
        <v/>
      </c>
      <c r="J695" s="16" t="str">
        <f>IF(B695="","",IF(OR(F695="",G695=""),"IC",VLOOKUP(I695,Scale[],2,1)))</f>
        <v/>
      </c>
    </row>
    <row r="696" spans="1:10" x14ac:dyDescent="0.35">
      <c r="A696" s="34"/>
      <c r="B696" s="35"/>
      <c r="C696" s="34"/>
      <c r="D696" s="34"/>
      <c r="E696" s="34"/>
      <c r="F696" s="46"/>
      <c r="G696" s="46"/>
      <c r="H696" s="14" t="str">
        <f>IF(Assessment_Sheet[[#This Row],[NAME ]]="","",ROUND((G696/60*40),0))</f>
        <v/>
      </c>
      <c r="I696" s="15" t="str">
        <f t="shared" si="11"/>
        <v/>
      </c>
      <c r="J696" s="16" t="str">
        <f>IF(B696="","",IF(OR(F696="",G696=""),"IC",VLOOKUP(I696,Scale[],2,1)))</f>
        <v/>
      </c>
    </row>
    <row r="697" spans="1:10" x14ac:dyDescent="0.35">
      <c r="A697" s="34"/>
      <c r="B697" s="35"/>
      <c r="C697" s="34"/>
      <c r="D697" s="34"/>
      <c r="E697" s="34"/>
      <c r="F697" s="46"/>
      <c r="G697" s="46"/>
      <c r="H697" s="14" t="str">
        <f>IF(Assessment_Sheet[[#This Row],[NAME ]]="","",ROUND((G697/60*40),0))</f>
        <v/>
      </c>
      <c r="I697" s="15" t="str">
        <f t="shared" si="11"/>
        <v/>
      </c>
      <c r="J697" s="16" t="str">
        <f>IF(B697="","",IF(OR(F697="",G697=""),"IC",VLOOKUP(I697,Scale[],2,1)))</f>
        <v/>
      </c>
    </row>
    <row r="698" spans="1:10" x14ac:dyDescent="0.35">
      <c r="A698" s="34"/>
      <c r="B698" s="35"/>
      <c r="C698" s="34"/>
      <c r="D698" s="34"/>
      <c r="E698" s="34"/>
      <c r="F698" s="46"/>
      <c r="G698" s="46"/>
      <c r="H698" s="14" t="str">
        <f>IF(Assessment_Sheet[[#This Row],[NAME ]]="","",ROUND((G698/60*40),0))</f>
        <v/>
      </c>
      <c r="I698" s="15" t="str">
        <f t="shared" si="11"/>
        <v/>
      </c>
      <c r="J698" s="16" t="str">
        <f>IF(B698="","",IF(OR(F698="",G698=""),"IC",VLOOKUP(I698,Scale[],2,1)))</f>
        <v/>
      </c>
    </row>
    <row r="699" spans="1:10" x14ac:dyDescent="0.35">
      <c r="A699" s="34"/>
      <c r="B699" s="35"/>
      <c r="C699" s="34"/>
      <c r="D699" s="34"/>
      <c r="E699" s="34"/>
      <c r="F699" s="46"/>
      <c r="G699" s="46"/>
      <c r="H699" s="14" t="str">
        <f>IF(Assessment_Sheet[[#This Row],[NAME ]]="","",ROUND((G699/60*40),0))</f>
        <v/>
      </c>
      <c r="I699" s="15" t="str">
        <f t="shared" si="11"/>
        <v/>
      </c>
      <c r="J699" s="16" t="str">
        <f>IF(B699="","",IF(OR(F699="",G699=""),"IC",VLOOKUP(I699,Scale[],2,1)))</f>
        <v/>
      </c>
    </row>
    <row r="700" spans="1:10" x14ac:dyDescent="0.35">
      <c r="A700" s="34"/>
      <c r="B700" s="35"/>
      <c r="C700" s="34"/>
      <c r="D700" s="34"/>
      <c r="E700" s="34"/>
      <c r="F700" s="46"/>
      <c r="G700" s="46"/>
      <c r="H700" s="14" t="str">
        <f>IF(Assessment_Sheet[[#This Row],[NAME ]]="","",ROUND((G700/60*40),0))</f>
        <v/>
      </c>
      <c r="I700" s="15" t="str">
        <f t="shared" si="11"/>
        <v/>
      </c>
      <c r="J700" s="16" t="str">
        <f>IF(B700="","",IF(OR(F700="",G700=""),"IC",VLOOKUP(I700,Scale[],2,1)))</f>
        <v/>
      </c>
    </row>
    <row r="701" spans="1:10" x14ac:dyDescent="0.35">
      <c r="A701" s="34"/>
      <c r="B701" s="35"/>
      <c r="C701" s="34"/>
      <c r="D701" s="34"/>
      <c r="E701" s="34"/>
      <c r="F701" s="46"/>
      <c r="G701" s="46"/>
      <c r="H701" s="14" t="str">
        <f>IF(Assessment_Sheet[[#This Row],[NAME ]]="","",ROUND((G701/60*40),0))</f>
        <v/>
      </c>
      <c r="I701" s="15" t="str">
        <f t="shared" si="11"/>
        <v/>
      </c>
      <c r="J701" s="16" t="str">
        <f>IF(B701="","",IF(OR(F701="",G701=""),"IC",VLOOKUP(I701,Scale[],2,1)))</f>
        <v/>
      </c>
    </row>
    <row r="702" spans="1:10" x14ac:dyDescent="0.35">
      <c r="A702" s="34"/>
      <c r="B702" s="35"/>
      <c r="C702" s="34"/>
      <c r="D702" s="34"/>
      <c r="E702" s="34"/>
      <c r="F702" s="46"/>
      <c r="G702" s="46"/>
      <c r="H702" s="14" t="str">
        <f>IF(Assessment_Sheet[[#This Row],[NAME ]]="","",ROUND((G702/60*40),0))</f>
        <v/>
      </c>
      <c r="I702" s="15" t="str">
        <f t="shared" si="11"/>
        <v/>
      </c>
      <c r="J702" s="16" t="str">
        <f>IF(B702="","",IF(OR(F702="",G702=""),"IC",VLOOKUP(I702,Scale[],2,1)))</f>
        <v/>
      </c>
    </row>
    <row r="703" spans="1:10" x14ac:dyDescent="0.35">
      <c r="A703" s="34"/>
      <c r="B703" s="35"/>
      <c r="C703" s="34"/>
      <c r="D703" s="34"/>
      <c r="E703" s="34"/>
      <c r="F703" s="46"/>
      <c r="G703" s="46"/>
      <c r="H703" s="14" t="str">
        <f>IF(Assessment_Sheet[[#This Row],[NAME ]]="","",ROUND((G703/60*40),0))</f>
        <v/>
      </c>
      <c r="I703" s="15" t="str">
        <f t="shared" si="11"/>
        <v/>
      </c>
      <c r="J703" s="16" t="str">
        <f>IF(B703="","",IF(OR(F703="",G703=""),"IC",VLOOKUP(I703,Scale[],2,1)))</f>
        <v/>
      </c>
    </row>
    <row r="704" spans="1:10" x14ac:dyDescent="0.35">
      <c r="A704" s="34"/>
      <c r="B704" s="35"/>
      <c r="C704" s="34"/>
      <c r="D704" s="34"/>
      <c r="E704" s="34"/>
      <c r="F704" s="46"/>
      <c r="G704" s="46"/>
      <c r="H704" s="14" t="str">
        <f>IF(Assessment_Sheet[[#This Row],[NAME ]]="","",ROUND((G704/60*40),0))</f>
        <v/>
      </c>
      <c r="I704" s="15" t="str">
        <f t="shared" si="11"/>
        <v/>
      </c>
      <c r="J704" s="16" t="str">
        <f>IF(B704="","",IF(OR(F704="",G704=""),"IC",VLOOKUP(I704,Scale[],2,1)))</f>
        <v/>
      </c>
    </row>
    <row r="705" spans="1:10" x14ac:dyDescent="0.35">
      <c r="A705" s="34"/>
      <c r="B705" s="35"/>
      <c r="C705" s="34"/>
      <c r="D705" s="34"/>
      <c r="E705" s="34"/>
      <c r="F705" s="46"/>
      <c r="G705" s="46"/>
      <c r="H705" s="14" t="str">
        <f>IF(Assessment_Sheet[[#This Row],[NAME ]]="","",ROUND((G705/60*40),0))</f>
        <v/>
      </c>
      <c r="I705" s="15" t="str">
        <f t="shared" si="11"/>
        <v/>
      </c>
      <c r="J705" s="16" t="str">
        <f>IF(B705="","",IF(OR(F705="",G705=""),"IC",VLOOKUP(I705,Scale[],2,1)))</f>
        <v/>
      </c>
    </row>
    <row r="706" spans="1:10" x14ac:dyDescent="0.35">
      <c r="A706" s="34"/>
      <c r="B706" s="35"/>
      <c r="C706" s="34"/>
      <c r="D706" s="34"/>
      <c r="E706" s="34"/>
      <c r="F706" s="46"/>
      <c r="G706" s="46"/>
      <c r="H706" s="14" t="str">
        <f>IF(Assessment_Sheet[[#This Row],[NAME ]]="","",ROUND((G706/60*40),0))</f>
        <v/>
      </c>
      <c r="I706" s="15" t="str">
        <f t="shared" si="11"/>
        <v/>
      </c>
      <c r="J706" s="16" t="str">
        <f>IF(B706="","",IF(OR(F706="",G706=""),"IC",VLOOKUP(I706,Scale[],2,1)))</f>
        <v/>
      </c>
    </row>
    <row r="707" spans="1:10" x14ac:dyDescent="0.35">
      <c r="A707" s="34"/>
      <c r="B707" s="35"/>
      <c r="C707" s="34"/>
      <c r="D707" s="34"/>
      <c r="E707" s="34"/>
      <c r="F707" s="46"/>
      <c r="G707" s="46"/>
      <c r="H707" s="14" t="str">
        <f>IF(Assessment_Sheet[[#This Row],[NAME ]]="","",ROUND((G707/60*40),0))</f>
        <v/>
      </c>
      <c r="I707" s="15" t="str">
        <f t="shared" si="11"/>
        <v/>
      </c>
      <c r="J707" s="16" t="str">
        <f>IF(B707="","",IF(OR(F707="",G707=""),"IC",VLOOKUP(I707,Scale[],2,1)))</f>
        <v/>
      </c>
    </row>
    <row r="708" spans="1:10" x14ac:dyDescent="0.35">
      <c r="A708" s="34"/>
      <c r="B708" s="35"/>
      <c r="C708" s="34"/>
      <c r="D708" s="34"/>
      <c r="E708" s="34"/>
      <c r="F708" s="46"/>
      <c r="G708" s="46"/>
      <c r="H708" s="14" t="str">
        <f>IF(Assessment_Sheet[[#This Row],[NAME ]]="","",ROUND((G708/60*40),0))</f>
        <v/>
      </c>
      <c r="I708" s="15" t="str">
        <f t="shared" si="11"/>
        <v/>
      </c>
      <c r="J708" s="16" t="str">
        <f>IF(B708="","",IF(OR(F708="",G708=""),"IC",VLOOKUP(I708,Scale[],2,1)))</f>
        <v/>
      </c>
    </row>
    <row r="709" spans="1:10" x14ac:dyDescent="0.35">
      <c r="A709" s="34"/>
      <c r="B709" s="35"/>
      <c r="C709" s="34"/>
      <c r="D709" s="34"/>
      <c r="E709" s="34"/>
      <c r="F709" s="46"/>
      <c r="G709" s="46"/>
      <c r="H709" s="14" t="str">
        <f>IF(Assessment_Sheet[[#This Row],[NAME ]]="","",ROUND((G709/60*40),0))</f>
        <v/>
      </c>
      <c r="I709" s="15" t="str">
        <f t="shared" si="11"/>
        <v/>
      </c>
      <c r="J709" s="16" t="str">
        <f>IF(B709="","",IF(OR(F709="",G709=""),"IC",VLOOKUP(I709,Scale[],2,1)))</f>
        <v/>
      </c>
    </row>
    <row r="710" spans="1:10" x14ac:dyDescent="0.35">
      <c r="A710" s="34"/>
      <c r="B710" s="35"/>
      <c r="C710" s="34"/>
      <c r="D710" s="34"/>
      <c r="E710" s="34"/>
      <c r="F710" s="46"/>
      <c r="G710" s="46"/>
      <c r="H710" s="14" t="str">
        <f>IF(Assessment_Sheet[[#This Row],[NAME ]]="","",ROUND((G710/60*40),0))</f>
        <v/>
      </c>
      <c r="I710" s="15" t="str">
        <f t="shared" si="11"/>
        <v/>
      </c>
      <c r="J710" s="16" t="str">
        <f>IF(B710="","",IF(OR(F710="",G710=""),"IC",VLOOKUP(I710,Scale[],2,1)))</f>
        <v/>
      </c>
    </row>
    <row r="711" spans="1:10" x14ac:dyDescent="0.35">
      <c r="A711" s="34"/>
      <c r="B711" s="35"/>
      <c r="C711" s="34"/>
      <c r="D711" s="34"/>
      <c r="E711" s="34"/>
      <c r="F711" s="46"/>
      <c r="G711" s="46"/>
      <c r="H711" s="14" t="str">
        <f>IF(Assessment_Sheet[[#This Row],[NAME ]]="","",ROUND((G711/60*40),0))</f>
        <v/>
      </c>
      <c r="I711" s="15" t="str">
        <f t="shared" si="11"/>
        <v/>
      </c>
      <c r="J711" s="16" t="str">
        <f>IF(B711="","",IF(OR(F711="",G711=""),"IC",VLOOKUP(I711,Scale[],2,1)))</f>
        <v/>
      </c>
    </row>
    <row r="712" spans="1:10" x14ac:dyDescent="0.35">
      <c r="A712" s="34"/>
      <c r="B712" s="35"/>
      <c r="C712" s="34"/>
      <c r="D712" s="34"/>
      <c r="E712" s="34"/>
      <c r="F712" s="46"/>
      <c r="G712" s="46"/>
      <c r="H712" s="14" t="str">
        <f>IF(Assessment_Sheet[[#This Row],[NAME ]]="","",ROUND((G712/60*40),0))</f>
        <v/>
      </c>
      <c r="I712" s="15" t="str">
        <f t="shared" ref="I712:I775" si="12">IFERROR(ROUND((F712+H712),0),"")</f>
        <v/>
      </c>
      <c r="J712" s="16" t="str">
        <f>IF(B712="","",IF(OR(F712="",G712=""),"IC",VLOOKUP(I712,Scale[],2,1)))</f>
        <v/>
      </c>
    </row>
    <row r="713" spans="1:10" x14ac:dyDescent="0.35">
      <c r="A713" s="34"/>
      <c r="B713" s="35"/>
      <c r="C713" s="34"/>
      <c r="D713" s="34"/>
      <c r="E713" s="34"/>
      <c r="F713" s="46"/>
      <c r="G713" s="46"/>
      <c r="H713" s="14" t="str">
        <f>IF(Assessment_Sheet[[#This Row],[NAME ]]="","",ROUND((G713/60*40),0))</f>
        <v/>
      </c>
      <c r="I713" s="15" t="str">
        <f t="shared" si="12"/>
        <v/>
      </c>
      <c r="J713" s="16" t="str">
        <f>IF(B713="","",IF(OR(F713="",G713=""),"IC",VLOOKUP(I713,Scale[],2,1)))</f>
        <v/>
      </c>
    </row>
    <row r="714" spans="1:10" x14ac:dyDescent="0.35">
      <c r="A714" s="34"/>
      <c r="B714" s="35"/>
      <c r="C714" s="34"/>
      <c r="D714" s="34"/>
      <c r="E714" s="34"/>
      <c r="F714" s="46"/>
      <c r="G714" s="46"/>
      <c r="H714" s="14" t="str">
        <f>IF(Assessment_Sheet[[#This Row],[NAME ]]="","",ROUND((G714/60*40),0))</f>
        <v/>
      </c>
      <c r="I714" s="15" t="str">
        <f t="shared" si="12"/>
        <v/>
      </c>
      <c r="J714" s="16" t="str">
        <f>IF(B714="","",IF(OR(F714="",G714=""),"IC",VLOOKUP(I714,Scale[],2,1)))</f>
        <v/>
      </c>
    </row>
    <row r="715" spans="1:10" x14ac:dyDescent="0.35">
      <c r="A715" s="34"/>
      <c r="B715" s="35"/>
      <c r="C715" s="34"/>
      <c r="D715" s="34"/>
      <c r="E715" s="34"/>
      <c r="F715" s="46"/>
      <c r="G715" s="46"/>
      <c r="H715" s="14" t="str">
        <f>IF(Assessment_Sheet[[#This Row],[NAME ]]="","",ROUND((G715/60*40),0))</f>
        <v/>
      </c>
      <c r="I715" s="15" t="str">
        <f t="shared" si="12"/>
        <v/>
      </c>
      <c r="J715" s="16" t="str">
        <f>IF(B715="","",IF(OR(F715="",G715=""),"IC",VLOOKUP(I715,Scale[],2,1)))</f>
        <v/>
      </c>
    </row>
    <row r="716" spans="1:10" x14ac:dyDescent="0.35">
      <c r="A716" s="34"/>
      <c r="B716" s="35"/>
      <c r="C716" s="34"/>
      <c r="D716" s="34"/>
      <c r="E716" s="34"/>
      <c r="F716" s="46"/>
      <c r="G716" s="46"/>
      <c r="H716" s="14" t="str">
        <f>IF(Assessment_Sheet[[#This Row],[NAME ]]="","",ROUND((G716/60*40),0))</f>
        <v/>
      </c>
      <c r="I716" s="15" t="str">
        <f t="shared" si="12"/>
        <v/>
      </c>
      <c r="J716" s="16" t="str">
        <f>IF(B716="","",IF(OR(F716="",G716=""),"IC",VLOOKUP(I716,Scale[],2,1)))</f>
        <v/>
      </c>
    </row>
    <row r="717" spans="1:10" x14ac:dyDescent="0.35">
      <c r="A717" s="34"/>
      <c r="B717" s="35"/>
      <c r="C717" s="34"/>
      <c r="D717" s="34"/>
      <c r="E717" s="34"/>
      <c r="F717" s="46"/>
      <c r="G717" s="46"/>
      <c r="H717" s="14" t="str">
        <f>IF(Assessment_Sheet[[#This Row],[NAME ]]="","",ROUND((G717/60*40),0))</f>
        <v/>
      </c>
      <c r="I717" s="15" t="str">
        <f t="shared" si="12"/>
        <v/>
      </c>
      <c r="J717" s="16" t="str">
        <f>IF(B717="","",IF(OR(F717="",G717=""),"IC",VLOOKUP(I717,Scale[],2,1)))</f>
        <v/>
      </c>
    </row>
    <row r="718" spans="1:10" x14ac:dyDescent="0.35">
      <c r="A718" s="34"/>
      <c r="B718" s="35"/>
      <c r="C718" s="34"/>
      <c r="D718" s="34"/>
      <c r="E718" s="34"/>
      <c r="F718" s="46"/>
      <c r="G718" s="46"/>
      <c r="H718" s="14" t="str">
        <f>IF(Assessment_Sheet[[#This Row],[NAME ]]="","",ROUND((G718/60*40),0))</f>
        <v/>
      </c>
      <c r="I718" s="15" t="str">
        <f t="shared" si="12"/>
        <v/>
      </c>
      <c r="J718" s="16" t="str">
        <f>IF(B718="","",IF(OR(F718="",G718=""),"IC",VLOOKUP(I718,Scale[],2,1)))</f>
        <v/>
      </c>
    </row>
    <row r="719" spans="1:10" x14ac:dyDescent="0.35">
      <c r="A719" s="34"/>
      <c r="B719" s="35"/>
      <c r="C719" s="34"/>
      <c r="D719" s="34"/>
      <c r="E719" s="34"/>
      <c r="F719" s="46"/>
      <c r="G719" s="46"/>
      <c r="H719" s="14" t="str">
        <f>IF(Assessment_Sheet[[#This Row],[NAME ]]="","",ROUND((G719/60*40),0))</f>
        <v/>
      </c>
      <c r="I719" s="15" t="str">
        <f t="shared" si="12"/>
        <v/>
      </c>
      <c r="J719" s="16" t="str">
        <f>IF(B719="","",IF(OR(F719="",G719=""),"IC",VLOOKUP(I719,Scale[],2,1)))</f>
        <v/>
      </c>
    </row>
    <row r="720" spans="1:10" x14ac:dyDescent="0.35">
      <c r="A720" s="34"/>
      <c r="B720" s="35"/>
      <c r="C720" s="34"/>
      <c r="D720" s="34"/>
      <c r="E720" s="34"/>
      <c r="F720" s="46"/>
      <c r="G720" s="46"/>
      <c r="H720" s="14" t="str">
        <f>IF(Assessment_Sheet[[#This Row],[NAME ]]="","",ROUND((G720/60*40),0))</f>
        <v/>
      </c>
      <c r="I720" s="15" t="str">
        <f t="shared" si="12"/>
        <v/>
      </c>
      <c r="J720" s="16" t="str">
        <f>IF(B720="","",IF(OR(F720="",G720=""),"IC",VLOOKUP(I720,Scale[],2,1)))</f>
        <v/>
      </c>
    </row>
    <row r="721" spans="1:10" x14ac:dyDescent="0.35">
      <c r="A721" s="34"/>
      <c r="B721" s="35"/>
      <c r="C721" s="34"/>
      <c r="D721" s="34"/>
      <c r="E721" s="34"/>
      <c r="F721" s="46"/>
      <c r="G721" s="46"/>
      <c r="H721" s="14" t="str">
        <f>IF(Assessment_Sheet[[#This Row],[NAME ]]="","",ROUND((G721/60*40),0))</f>
        <v/>
      </c>
      <c r="I721" s="15" t="str">
        <f t="shared" si="12"/>
        <v/>
      </c>
      <c r="J721" s="16" t="str">
        <f>IF(B721="","",IF(OR(F721="",G721=""),"IC",VLOOKUP(I721,Scale[],2,1)))</f>
        <v/>
      </c>
    </row>
    <row r="722" spans="1:10" x14ac:dyDescent="0.35">
      <c r="A722" s="34"/>
      <c r="B722" s="35"/>
      <c r="C722" s="34"/>
      <c r="D722" s="34"/>
      <c r="E722" s="34"/>
      <c r="F722" s="46"/>
      <c r="G722" s="46"/>
      <c r="H722" s="14" t="str">
        <f>IF(Assessment_Sheet[[#This Row],[NAME ]]="","",ROUND((G722/60*40),0))</f>
        <v/>
      </c>
      <c r="I722" s="15" t="str">
        <f t="shared" si="12"/>
        <v/>
      </c>
      <c r="J722" s="16" t="str">
        <f>IF(B722="","",IF(OR(F722="",G722=""),"IC",VLOOKUP(I722,Scale[],2,1)))</f>
        <v/>
      </c>
    </row>
    <row r="723" spans="1:10" x14ac:dyDescent="0.35">
      <c r="A723" s="34"/>
      <c r="B723" s="35"/>
      <c r="C723" s="34"/>
      <c r="D723" s="34"/>
      <c r="E723" s="34"/>
      <c r="F723" s="46"/>
      <c r="G723" s="46"/>
      <c r="H723" s="14" t="str">
        <f>IF(Assessment_Sheet[[#This Row],[NAME ]]="","",ROUND((G723/60*40),0))</f>
        <v/>
      </c>
      <c r="I723" s="15" t="str">
        <f t="shared" si="12"/>
        <v/>
      </c>
      <c r="J723" s="16" t="str">
        <f>IF(B723="","",IF(OR(F723="",G723=""),"IC",VLOOKUP(I723,Scale[],2,1)))</f>
        <v/>
      </c>
    </row>
    <row r="724" spans="1:10" x14ac:dyDescent="0.35">
      <c r="A724" s="34"/>
      <c r="B724" s="35"/>
      <c r="C724" s="34"/>
      <c r="D724" s="34"/>
      <c r="E724" s="34"/>
      <c r="F724" s="46"/>
      <c r="G724" s="46"/>
      <c r="H724" s="14" t="str">
        <f>IF(Assessment_Sheet[[#This Row],[NAME ]]="","",ROUND((G724/60*40),0))</f>
        <v/>
      </c>
      <c r="I724" s="15" t="str">
        <f t="shared" si="12"/>
        <v/>
      </c>
      <c r="J724" s="16" t="str">
        <f>IF(B724="","",IF(OR(F724="",G724=""),"IC",VLOOKUP(I724,Scale[],2,1)))</f>
        <v/>
      </c>
    </row>
    <row r="725" spans="1:10" x14ac:dyDescent="0.35">
      <c r="A725" s="34"/>
      <c r="B725" s="35"/>
      <c r="C725" s="34"/>
      <c r="D725" s="34"/>
      <c r="E725" s="34"/>
      <c r="F725" s="46"/>
      <c r="G725" s="46"/>
      <c r="H725" s="14" t="str">
        <f>IF(Assessment_Sheet[[#This Row],[NAME ]]="","",ROUND((G725/60*40),0))</f>
        <v/>
      </c>
      <c r="I725" s="15" t="str">
        <f t="shared" si="12"/>
        <v/>
      </c>
      <c r="J725" s="16" t="str">
        <f>IF(B725="","",IF(OR(F725="",G725=""),"IC",VLOOKUP(I725,Scale[],2,1)))</f>
        <v/>
      </c>
    </row>
    <row r="726" spans="1:10" x14ac:dyDescent="0.35">
      <c r="A726" s="34"/>
      <c r="B726" s="35"/>
      <c r="C726" s="34"/>
      <c r="D726" s="34"/>
      <c r="E726" s="34"/>
      <c r="F726" s="46"/>
      <c r="G726" s="46"/>
      <c r="H726" s="14" t="str">
        <f>IF(Assessment_Sheet[[#This Row],[NAME ]]="","",ROUND((G726/60*40),0))</f>
        <v/>
      </c>
      <c r="I726" s="15" t="str">
        <f t="shared" si="12"/>
        <v/>
      </c>
      <c r="J726" s="16" t="str">
        <f>IF(B726="","",IF(OR(F726="",G726=""),"IC",VLOOKUP(I726,Scale[],2,1)))</f>
        <v/>
      </c>
    </row>
    <row r="727" spans="1:10" x14ac:dyDescent="0.35">
      <c r="A727" s="34"/>
      <c r="B727" s="35"/>
      <c r="C727" s="34"/>
      <c r="D727" s="34"/>
      <c r="E727" s="34"/>
      <c r="F727" s="46"/>
      <c r="G727" s="46"/>
      <c r="H727" s="14" t="str">
        <f>IF(Assessment_Sheet[[#This Row],[NAME ]]="","",ROUND((G727/60*40),0))</f>
        <v/>
      </c>
      <c r="I727" s="15" t="str">
        <f t="shared" si="12"/>
        <v/>
      </c>
      <c r="J727" s="16" t="str">
        <f>IF(B727="","",IF(OR(F727="",G727=""),"IC",VLOOKUP(I727,Scale[],2,1)))</f>
        <v/>
      </c>
    </row>
    <row r="728" spans="1:10" x14ac:dyDescent="0.35">
      <c r="A728" s="34"/>
      <c r="B728" s="35"/>
      <c r="C728" s="34"/>
      <c r="D728" s="34"/>
      <c r="E728" s="34"/>
      <c r="F728" s="46"/>
      <c r="G728" s="46"/>
      <c r="H728" s="14" t="str">
        <f>IF(Assessment_Sheet[[#This Row],[NAME ]]="","",ROUND((G728/60*40),0))</f>
        <v/>
      </c>
      <c r="I728" s="15" t="str">
        <f t="shared" si="12"/>
        <v/>
      </c>
      <c r="J728" s="16" t="str">
        <f>IF(B728="","",IF(OR(F728="",G728=""),"IC",VLOOKUP(I728,Scale[],2,1)))</f>
        <v/>
      </c>
    </row>
    <row r="729" spans="1:10" x14ac:dyDescent="0.35">
      <c r="A729" s="34"/>
      <c r="B729" s="35"/>
      <c r="C729" s="34"/>
      <c r="D729" s="34"/>
      <c r="E729" s="34"/>
      <c r="F729" s="46"/>
      <c r="G729" s="46"/>
      <c r="H729" s="14" t="str">
        <f>IF(Assessment_Sheet[[#This Row],[NAME ]]="","",ROUND((G729/60*40),0))</f>
        <v/>
      </c>
      <c r="I729" s="15" t="str">
        <f t="shared" si="12"/>
        <v/>
      </c>
      <c r="J729" s="16" t="str">
        <f>IF(B729="","",IF(OR(F729="",G729=""),"IC",VLOOKUP(I729,Scale[],2,1)))</f>
        <v/>
      </c>
    </row>
    <row r="730" spans="1:10" x14ac:dyDescent="0.35">
      <c r="A730" s="34"/>
      <c r="B730" s="35"/>
      <c r="C730" s="34"/>
      <c r="D730" s="34"/>
      <c r="E730" s="34"/>
      <c r="F730" s="46"/>
      <c r="G730" s="46"/>
      <c r="H730" s="14" t="str">
        <f>IF(Assessment_Sheet[[#This Row],[NAME ]]="","",ROUND((G730/60*40),0))</f>
        <v/>
      </c>
      <c r="I730" s="15" t="str">
        <f t="shared" si="12"/>
        <v/>
      </c>
      <c r="J730" s="16" t="str">
        <f>IF(B730="","",IF(OR(F730="",G730=""),"IC",VLOOKUP(I730,Scale[],2,1)))</f>
        <v/>
      </c>
    </row>
    <row r="731" spans="1:10" x14ac:dyDescent="0.35">
      <c r="A731" s="34"/>
      <c r="B731" s="35"/>
      <c r="C731" s="34"/>
      <c r="D731" s="34"/>
      <c r="E731" s="34"/>
      <c r="F731" s="46"/>
      <c r="G731" s="46"/>
      <c r="H731" s="14" t="str">
        <f>IF(Assessment_Sheet[[#This Row],[NAME ]]="","",ROUND((G731/60*40),0))</f>
        <v/>
      </c>
      <c r="I731" s="15" t="str">
        <f t="shared" si="12"/>
        <v/>
      </c>
      <c r="J731" s="16" t="str">
        <f>IF(B731="","",IF(OR(F731="",G731=""),"IC",VLOOKUP(I731,Scale[],2,1)))</f>
        <v/>
      </c>
    </row>
    <row r="732" spans="1:10" x14ac:dyDescent="0.35">
      <c r="A732" s="34"/>
      <c r="B732" s="35"/>
      <c r="C732" s="34"/>
      <c r="D732" s="34"/>
      <c r="E732" s="34"/>
      <c r="F732" s="46"/>
      <c r="G732" s="46"/>
      <c r="H732" s="14" t="str">
        <f>IF(Assessment_Sheet[[#This Row],[NAME ]]="","",ROUND((G732/60*40),0))</f>
        <v/>
      </c>
      <c r="I732" s="15" t="str">
        <f t="shared" si="12"/>
        <v/>
      </c>
      <c r="J732" s="16" t="str">
        <f>IF(B732="","",IF(OR(F732="",G732=""),"IC",VLOOKUP(I732,Scale[],2,1)))</f>
        <v/>
      </c>
    </row>
    <row r="733" spans="1:10" x14ac:dyDescent="0.35">
      <c r="A733" s="34"/>
      <c r="B733" s="35"/>
      <c r="C733" s="34"/>
      <c r="D733" s="34"/>
      <c r="E733" s="34"/>
      <c r="F733" s="46"/>
      <c r="G733" s="46"/>
      <c r="H733" s="14" t="str">
        <f>IF(Assessment_Sheet[[#This Row],[NAME ]]="","",ROUND((G733/60*40),0))</f>
        <v/>
      </c>
      <c r="I733" s="15" t="str">
        <f t="shared" si="12"/>
        <v/>
      </c>
      <c r="J733" s="16" t="str">
        <f>IF(B733="","",IF(OR(F733="",G733=""),"IC",VLOOKUP(I733,Scale[],2,1)))</f>
        <v/>
      </c>
    </row>
    <row r="734" spans="1:10" x14ac:dyDescent="0.35">
      <c r="A734" s="34"/>
      <c r="B734" s="35"/>
      <c r="C734" s="34"/>
      <c r="D734" s="34"/>
      <c r="E734" s="34"/>
      <c r="F734" s="46"/>
      <c r="G734" s="46"/>
      <c r="H734" s="14" t="str">
        <f>IF(Assessment_Sheet[[#This Row],[NAME ]]="","",ROUND((G734/60*40),0))</f>
        <v/>
      </c>
      <c r="I734" s="15" t="str">
        <f t="shared" si="12"/>
        <v/>
      </c>
      <c r="J734" s="16" t="str">
        <f>IF(B734="","",IF(OR(F734="",G734=""),"IC",VLOOKUP(I734,Scale[],2,1)))</f>
        <v/>
      </c>
    </row>
    <row r="735" spans="1:10" x14ac:dyDescent="0.35">
      <c r="A735" s="34"/>
      <c r="B735" s="35"/>
      <c r="C735" s="34"/>
      <c r="D735" s="34"/>
      <c r="E735" s="34"/>
      <c r="F735" s="46"/>
      <c r="G735" s="46"/>
      <c r="H735" s="14" t="str">
        <f>IF(Assessment_Sheet[[#This Row],[NAME ]]="","",ROUND((G735/60*40),0))</f>
        <v/>
      </c>
      <c r="I735" s="15" t="str">
        <f t="shared" si="12"/>
        <v/>
      </c>
      <c r="J735" s="16" t="str">
        <f>IF(B735="","",IF(OR(F735="",G735=""),"IC",VLOOKUP(I735,Scale[],2,1)))</f>
        <v/>
      </c>
    </row>
    <row r="736" spans="1:10" x14ac:dyDescent="0.35">
      <c r="A736" s="34"/>
      <c r="B736" s="35"/>
      <c r="C736" s="34"/>
      <c r="D736" s="34"/>
      <c r="E736" s="34"/>
      <c r="F736" s="46"/>
      <c r="G736" s="46"/>
      <c r="H736" s="14" t="str">
        <f>IF(Assessment_Sheet[[#This Row],[NAME ]]="","",ROUND((G736/60*40),0))</f>
        <v/>
      </c>
      <c r="I736" s="15" t="str">
        <f t="shared" si="12"/>
        <v/>
      </c>
      <c r="J736" s="16" t="str">
        <f>IF(B736="","",IF(OR(F736="",G736=""),"IC",VLOOKUP(I736,Scale[],2,1)))</f>
        <v/>
      </c>
    </row>
    <row r="737" spans="1:10" x14ac:dyDescent="0.35">
      <c r="A737" s="34"/>
      <c r="B737" s="35"/>
      <c r="C737" s="34"/>
      <c r="D737" s="34"/>
      <c r="E737" s="34"/>
      <c r="F737" s="46"/>
      <c r="G737" s="46"/>
      <c r="H737" s="14" t="str">
        <f>IF(Assessment_Sheet[[#This Row],[NAME ]]="","",ROUND((G737/60*40),0))</f>
        <v/>
      </c>
      <c r="I737" s="15" t="str">
        <f t="shared" si="12"/>
        <v/>
      </c>
      <c r="J737" s="16" t="str">
        <f>IF(B737="","",IF(OR(F737="",G737=""),"IC",VLOOKUP(I737,Scale[],2,1)))</f>
        <v/>
      </c>
    </row>
    <row r="738" spans="1:10" x14ac:dyDescent="0.35">
      <c r="A738" s="34"/>
      <c r="B738" s="35"/>
      <c r="C738" s="34"/>
      <c r="D738" s="34"/>
      <c r="E738" s="34"/>
      <c r="F738" s="46"/>
      <c r="G738" s="46"/>
      <c r="H738" s="14" t="str">
        <f>IF(Assessment_Sheet[[#This Row],[NAME ]]="","",ROUND((G738/60*40),0))</f>
        <v/>
      </c>
      <c r="I738" s="15" t="str">
        <f t="shared" si="12"/>
        <v/>
      </c>
      <c r="J738" s="16" t="str">
        <f>IF(B738="","",IF(OR(F738="",G738=""),"IC",VLOOKUP(I738,Scale[],2,1)))</f>
        <v/>
      </c>
    </row>
    <row r="739" spans="1:10" x14ac:dyDescent="0.35">
      <c r="A739" s="34"/>
      <c r="B739" s="35"/>
      <c r="C739" s="34"/>
      <c r="D739" s="34"/>
      <c r="E739" s="34"/>
      <c r="F739" s="46"/>
      <c r="G739" s="46"/>
      <c r="H739" s="14" t="str">
        <f>IF(Assessment_Sheet[[#This Row],[NAME ]]="","",ROUND((G739/60*40),0))</f>
        <v/>
      </c>
      <c r="I739" s="15" t="str">
        <f t="shared" si="12"/>
        <v/>
      </c>
      <c r="J739" s="16" t="str">
        <f>IF(B739="","",IF(OR(F739="",G739=""),"IC",VLOOKUP(I739,Scale[],2,1)))</f>
        <v/>
      </c>
    </row>
    <row r="740" spans="1:10" x14ac:dyDescent="0.35">
      <c r="A740" s="34"/>
      <c r="B740" s="35"/>
      <c r="C740" s="34"/>
      <c r="D740" s="34"/>
      <c r="E740" s="34"/>
      <c r="F740" s="46"/>
      <c r="G740" s="46"/>
      <c r="H740" s="14" t="str">
        <f>IF(Assessment_Sheet[[#This Row],[NAME ]]="","",ROUND((G740/60*40),0))</f>
        <v/>
      </c>
      <c r="I740" s="15" t="str">
        <f t="shared" si="12"/>
        <v/>
      </c>
      <c r="J740" s="16" t="str">
        <f>IF(B740="","",IF(OR(F740="",G740=""),"IC",VLOOKUP(I740,Scale[],2,1)))</f>
        <v/>
      </c>
    </row>
    <row r="741" spans="1:10" x14ac:dyDescent="0.35">
      <c r="A741" s="34"/>
      <c r="B741" s="35"/>
      <c r="C741" s="34"/>
      <c r="D741" s="34"/>
      <c r="E741" s="34"/>
      <c r="F741" s="46"/>
      <c r="G741" s="46"/>
      <c r="H741" s="14" t="str">
        <f>IF(Assessment_Sheet[[#This Row],[NAME ]]="","",ROUND((G741/60*40),0))</f>
        <v/>
      </c>
      <c r="I741" s="15" t="str">
        <f t="shared" si="12"/>
        <v/>
      </c>
      <c r="J741" s="16" t="str">
        <f>IF(B741="","",IF(OR(F741="",G741=""),"IC",VLOOKUP(I741,Scale[],2,1)))</f>
        <v/>
      </c>
    </row>
    <row r="742" spans="1:10" x14ac:dyDescent="0.35">
      <c r="A742" s="34"/>
      <c r="B742" s="35"/>
      <c r="C742" s="34"/>
      <c r="D742" s="34"/>
      <c r="E742" s="34"/>
      <c r="F742" s="46"/>
      <c r="G742" s="46"/>
      <c r="H742" s="14" t="str">
        <f>IF(Assessment_Sheet[[#This Row],[NAME ]]="","",ROUND((G742/60*40),0))</f>
        <v/>
      </c>
      <c r="I742" s="15" t="str">
        <f t="shared" si="12"/>
        <v/>
      </c>
      <c r="J742" s="16" t="str">
        <f>IF(B742="","",IF(OR(F742="",G742=""),"IC",VLOOKUP(I742,Scale[],2,1)))</f>
        <v/>
      </c>
    </row>
    <row r="743" spans="1:10" x14ac:dyDescent="0.35">
      <c r="A743" s="34"/>
      <c r="B743" s="35"/>
      <c r="C743" s="34"/>
      <c r="D743" s="34"/>
      <c r="E743" s="34"/>
      <c r="F743" s="46"/>
      <c r="G743" s="46"/>
      <c r="H743" s="14" t="str">
        <f>IF(Assessment_Sheet[[#This Row],[NAME ]]="","",ROUND((G743/60*40),0))</f>
        <v/>
      </c>
      <c r="I743" s="15" t="str">
        <f t="shared" si="12"/>
        <v/>
      </c>
      <c r="J743" s="16" t="str">
        <f>IF(B743="","",IF(OR(F743="",G743=""),"IC",VLOOKUP(I743,Scale[],2,1)))</f>
        <v/>
      </c>
    </row>
    <row r="744" spans="1:10" x14ac:dyDescent="0.35">
      <c r="A744" s="34"/>
      <c r="B744" s="35"/>
      <c r="C744" s="34"/>
      <c r="D744" s="34"/>
      <c r="E744" s="34"/>
      <c r="F744" s="46"/>
      <c r="G744" s="46"/>
      <c r="H744" s="14" t="str">
        <f>IF(Assessment_Sheet[[#This Row],[NAME ]]="","",ROUND((G744/60*40),0))</f>
        <v/>
      </c>
      <c r="I744" s="15" t="str">
        <f t="shared" si="12"/>
        <v/>
      </c>
      <c r="J744" s="16" t="str">
        <f>IF(B744="","",IF(OR(F744="",G744=""),"IC",VLOOKUP(I744,Scale[],2,1)))</f>
        <v/>
      </c>
    </row>
    <row r="745" spans="1:10" x14ac:dyDescent="0.35">
      <c r="A745" s="34"/>
      <c r="B745" s="35"/>
      <c r="C745" s="34"/>
      <c r="D745" s="34"/>
      <c r="E745" s="34"/>
      <c r="F745" s="46"/>
      <c r="G745" s="46"/>
      <c r="H745" s="14" t="str">
        <f>IF(Assessment_Sheet[[#This Row],[NAME ]]="","",ROUND((G745/60*40),0))</f>
        <v/>
      </c>
      <c r="I745" s="15" t="str">
        <f t="shared" si="12"/>
        <v/>
      </c>
      <c r="J745" s="16" t="str">
        <f>IF(B745="","",IF(OR(F745="",G745=""),"IC",VLOOKUP(I745,Scale[],2,1)))</f>
        <v/>
      </c>
    </row>
    <row r="746" spans="1:10" x14ac:dyDescent="0.35">
      <c r="A746" s="34"/>
      <c r="B746" s="35"/>
      <c r="C746" s="34"/>
      <c r="D746" s="34"/>
      <c r="E746" s="34"/>
      <c r="F746" s="46"/>
      <c r="G746" s="46"/>
      <c r="H746" s="14" t="str">
        <f>IF(Assessment_Sheet[[#This Row],[NAME ]]="","",ROUND((G746/60*40),0))</f>
        <v/>
      </c>
      <c r="I746" s="15" t="str">
        <f t="shared" si="12"/>
        <v/>
      </c>
      <c r="J746" s="16" t="str">
        <f>IF(B746="","",IF(OR(F746="",G746=""),"IC",VLOOKUP(I746,Scale[],2,1)))</f>
        <v/>
      </c>
    </row>
    <row r="747" spans="1:10" x14ac:dyDescent="0.35">
      <c r="A747" s="34"/>
      <c r="B747" s="35"/>
      <c r="C747" s="34"/>
      <c r="D747" s="34"/>
      <c r="E747" s="34"/>
      <c r="F747" s="46"/>
      <c r="G747" s="46"/>
      <c r="H747" s="14" t="str">
        <f>IF(Assessment_Sheet[[#This Row],[NAME ]]="","",ROUND((G747/60*40),0))</f>
        <v/>
      </c>
      <c r="I747" s="15" t="str">
        <f t="shared" si="12"/>
        <v/>
      </c>
      <c r="J747" s="16" t="str">
        <f>IF(B747="","",IF(OR(F747="",G747=""),"IC",VLOOKUP(I747,Scale[],2,1)))</f>
        <v/>
      </c>
    </row>
    <row r="748" spans="1:10" x14ac:dyDescent="0.35">
      <c r="A748" s="34"/>
      <c r="B748" s="35"/>
      <c r="C748" s="34"/>
      <c r="D748" s="34"/>
      <c r="E748" s="34"/>
      <c r="F748" s="46"/>
      <c r="G748" s="46"/>
      <c r="H748" s="14" t="str">
        <f>IF(Assessment_Sheet[[#This Row],[NAME ]]="","",ROUND((G748/60*40),0))</f>
        <v/>
      </c>
      <c r="I748" s="15" t="str">
        <f t="shared" si="12"/>
        <v/>
      </c>
      <c r="J748" s="16" t="str">
        <f>IF(B748="","",IF(OR(F748="",G748=""),"IC",VLOOKUP(I748,Scale[],2,1)))</f>
        <v/>
      </c>
    </row>
    <row r="749" spans="1:10" x14ac:dyDescent="0.35">
      <c r="A749" s="34"/>
      <c r="B749" s="35"/>
      <c r="C749" s="34"/>
      <c r="D749" s="34"/>
      <c r="E749" s="34"/>
      <c r="F749" s="46"/>
      <c r="G749" s="46"/>
      <c r="H749" s="14" t="str">
        <f>IF(Assessment_Sheet[[#This Row],[NAME ]]="","",ROUND((G749/60*40),0))</f>
        <v/>
      </c>
      <c r="I749" s="15" t="str">
        <f t="shared" si="12"/>
        <v/>
      </c>
      <c r="J749" s="16" t="str">
        <f>IF(B749="","",IF(OR(F749="",G749=""),"IC",VLOOKUP(I749,Scale[],2,1)))</f>
        <v/>
      </c>
    </row>
    <row r="750" spans="1:10" x14ac:dyDescent="0.35">
      <c r="A750" s="34"/>
      <c r="B750" s="35"/>
      <c r="C750" s="34"/>
      <c r="D750" s="34"/>
      <c r="E750" s="34"/>
      <c r="F750" s="46"/>
      <c r="G750" s="46"/>
      <c r="H750" s="14" t="str">
        <f>IF(Assessment_Sheet[[#This Row],[NAME ]]="","",ROUND((G750/60*40),0))</f>
        <v/>
      </c>
      <c r="I750" s="15" t="str">
        <f t="shared" si="12"/>
        <v/>
      </c>
      <c r="J750" s="16" t="str">
        <f>IF(B750="","",IF(OR(F750="",G750=""),"IC",VLOOKUP(I750,Scale[],2,1)))</f>
        <v/>
      </c>
    </row>
    <row r="751" spans="1:10" x14ac:dyDescent="0.35">
      <c r="A751" s="34"/>
      <c r="B751" s="35"/>
      <c r="C751" s="34"/>
      <c r="D751" s="34"/>
      <c r="E751" s="34"/>
      <c r="F751" s="46"/>
      <c r="G751" s="46"/>
      <c r="H751" s="14" t="str">
        <f>IF(Assessment_Sheet[[#This Row],[NAME ]]="","",ROUND((G751/60*40),0))</f>
        <v/>
      </c>
      <c r="I751" s="15" t="str">
        <f t="shared" si="12"/>
        <v/>
      </c>
      <c r="J751" s="16" t="str">
        <f>IF(B751="","",IF(OR(F751="",G751=""),"IC",VLOOKUP(I751,Scale[],2,1)))</f>
        <v/>
      </c>
    </row>
    <row r="752" spans="1:10" x14ac:dyDescent="0.35">
      <c r="A752" s="34"/>
      <c r="B752" s="35"/>
      <c r="C752" s="34"/>
      <c r="D752" s="34"/>
      <c r="E752" s="34"/>
      <c r="F752" s="46"/>
      <c r="G752" s="46"/>
      <c r="H752" s="14" t="str">
        <f>IF(Assessment_Sheet[[#This Row],[NAME ]]="","",ROUND((G752/60*40),0))</f>
        <v/>
      </c>
      <c r="I752" s="15" t="str">
        <f t="shared" si="12"/>
        <v/>
      </c>
      <c r="J752" s="16" t="str">
        <f>IF(B752="","",IF(OR(F752="",G752=""),"IC",VLOOKUP(I752,Scale[],2,1)))</f>
        <v/>
      </c>
    </row>
    <row r="753" spans="1:10" x14ac:dyDescent="0.35">
      <c r="A753" s="34"/>
      <c r="B753" s="35"/>
      <c r="C753" s="34"/>
      <c r="D753" s="34"/>
      <c r="E753" s="34"/>
      <c r="F753" s="46"/>
      <c r="G753" s="46"/>
      <c r="H753" s="14" t="str">
        <f>IF(Assessment_Sheet[[#This Row],[NAME ]]="","",ROUND((G753/60*40),0))</f>
        <v/>
      </c>
      <c r="I753" s="15" t="str">
        <f t="shared" si="12"/>
        <v/>
      </c>
      <c r="J753" s="16" t="str">
        <f>IF(B753="","",IF(OR(F753="",G753=""),"IC",VLOOKUP(I753,Scale[],2,1)))</f>
        <v/>
      </c>
    </row>
    <row r="754" spans="1:10" x14ac:dyDescent="0.35">
      <c r="A754" s="34"/>
      <c r="B754" s="35"/>
      <c r="C754" s="34"/>
      <c r="D754" s="34"/>
      <c r="E754" s="34"/>
      <c r="F754" s="46"/>
      <c r="G754" s="46"/>
      <c r="H754" s="14" t="str">
        <f>IF(Assessment_Sheet[[#This Row],[NAME ]]="","",ROUND((G754/60*40),0))</f>
        <v/>
      </c>
      <c r="I754" s="15" t="str">
        <f t="shared" si="12"/>
        <v/>
      </c>
      <c r="J754" s="16" t="str">
        <f>IF(B754="","",IF(OR(F754="",G754=""),"IC",VLOOKUP(I754,Scale[],2,1)))</f>
        <v/>
      </c>
    </row>
    <row r="755" spans="1:10" x14ac:dyDescent="0.35">
      <c r="A755" s="34"/>
      <c r="B755" s="35"/>
      <c r="C755" s="34"/>
      <c r="D755" s="34"/>
      <c r="E755" s="34"/>
      <c r="F755" s="46"/>
      <c r="G755" s="46"/>
      <c r="H755" s="14" t="str">
        <f>IF(Assessment_Sheet[[#This Row],[NAME ]]="","",ROUND((G755/60*40),0))</f>
        <v/>
      </c>
      <c r="I755" s="15" t="str">
        <f t="shared" si="12"/>
        <v/>
      </c>
      <c r="J755" s="16" t="str">
        <f>IF(B755="","",IF(OR(F755="",G755=""),"IC",VLOOKUP(I755,Scale[],2,1)))</f>
        <v/>
      </c>
    </row>
    <row r="756" spans="1:10" x14ac:dyDescent="0.35">
      <c r="A756" s="34"/>
      <c r="B756" s="35"/>
      <c r="C756" s="34"/>
      <c r="D756" s="34"/>
      <c r="E756" s="34"/>
      <c r="F756" s="46"/>
      <c r="G756" s="46"/>
      <c r="H756" s="14" t="str">
        <f>IF(Assessment_Sheet[[#This Row],[NAME ]]="","",ROUND((G756/60*40),0))</f>
        <v/>
      </c>
      <c r="I756" s="15" t="str">
        <f t="shared" si="12"/>
        <v/>
      </c>
      <c r="J756" s="16" t="str">
        <f>IF(B756="","",IF(OR(F756="",G756=""),"IC",VLOOKUP(I756,Scale[],2,1)))</f>
        <v/>
      </c>
    </row>
    <row r="757" spans="1:10" x14ac:dyDescent="0.35">
      <c r="A757" s="34"/>
      <c r="B757" s="35"/>
      <c r="C757" s="34"/>
      <c r="D757" s="34"/>
      <c r="E757" s="34"/>
      <c r="F757" s="46"/>
      <c r="G757" s="46"/>
      <c r="H757" s="14" t="str">
        <f>IF(Assessment_Sheet[[#This Row],[NAME ]]="","",ROUND((G757/60*40),0))</f>
        <v/>
      </c>
      <c r="I757" s="15" t="str">
        <f t="shared" si="12"/>
        <v/>
      </c>
      <c r="J757" s="16" t="str">
        <f>IF(B757="","",IF(OR(F757="",G757=""),"IC",VLOOKUP(I757,Scale[],2,1)))</f>
        <v/>
      </c>
    </row>
    <row r="758" spans="1:10" x14ac:dyDescent="0.35">
      <c r="A758" s="34"/>
      <c r="B758" s="35"/>
      <c r="C758" s="34"/>
      <c r="D758" s="34"/>
      <c r="E758" s="34"/>
      <c r="F758" s="46"/>
      <c r="G758" s="46"/>
      <c r="H758" s="14" t="str">
        <f>IF(Assessment_Sheet[[#This Row],[NAME ]]="","",ROUND((G758/60*40),0))</f>
        <v/>
      </c>
      <c r="I758" s="15" t="str">
        <f t="shared" si="12"/>
        <v/>
      </c>
      <c r="J758" s="16" t="str">
        <f>IF(B758="","",IF(OR(F758="",G758=""),"IC",VLOOKUP(I758,Scale[],2,1)))</f>
        <v/>
      </c>
    </row>
    <row r="759" spans="1:10" x14ac:dyDescent="0.35">
      <c r="A759" s="34"/>
      <c r="B759" s="35"/>
      <c r="C759" s="34"/>
      <c r="D759" s="34"/>
      <c r="E759" s="34"/>
      <c r="F759" s="46"/>
      <c r="G759" s="46"/>
      <c r="H759" s="14" t="str">
        <f>IF(Assessment_Sheet[[#This Row],[NAME ]]="","",ROUND((G759/60*40),0))</f>
        <v/>
      </c>
      <c r="I759" s="15" t="str">
        <f t="shared" si="12"/>
        <v/>
      </c>
      <c r="J759" s="16" t="str">
        <f>IF(B759="","",IF(OR(F759="",G759=""),"IC",VLOOKUP(I759,Scale[],2,1)))</f>
        <v/>
      </c>
    </row>
    <row r="760" spans="1:10" x14ac:dyDescent="0.35">
      <c r="A760" s="34"/>
      <c r="B760" s="35"/>
      <c r="C760" s="34"/>
      <c r="D760" s="34"/>
      <c r="E760" s="34"/>
      <c r="F760" s="46"/>
      <c r="G760" s="46"/>
      <c r="H760" s="14" t="str">
        <f>IF(Assessment_Sheet[[#This Row],[NAME ]]="","",ROUND((G760/60*40),0))</f>
        <v/>
      </c>
      <c r="I760" s="15" t="str">
        <f t="shared" si="12"/>
        <v/>
      </c>
      <c r="J760" s="16" t="str">
        <f>IF(B760="","",IF(OR(F760="",G760=""),"IC",VLOOKUP(I760,Scale[],2,1)))</f>
        <v/>
      </c>
    </row>
    <row r="761" spans="1:10" x14ac:dyDescent="0.35">
      <c r="A761" s="34"/>
      <c r="B761" s="35"/>
      <c r="C761" s="34"/>
      <c r="D761" s="34"/>
      <c r="E761" s="34"/>
      <c r="F761" s="46"/>
      <c r="G761" s="46"/>
      <c r="H761" s="14" t="str">
        <f>IF(Assessment_Sheet[[#This Row],[NAME ]]="","",ROUND((G761/60*40),0))</f>
        <v/>
      </c>
      <c r="I761" s="15" t="str">
        <f t="shared" si="12"/>
        <v/>
      </c>
      <c r="J761" s="16" t="str">
        <f>IF(B761="","",IF(OR(F761="",G761=""),"IC",VLOOKUP(I761,Scale[],2,1)))</f>
        <v/>
      </c>
    </row>
    <row r="762" spans="1:10" x14ac:dyDescent="0.35">
      <c r="A762" s="34"/>
      <c r="B762" s="35"/>
      <c r="C762" s="34"/>
      <c r="D762" s="34"/>
      <c r="E762" s="34"/>
      <c r="F762" s="46"/>
      <c r="G762" s="46"/>
      <c r="H762" s="14" t="str">
        <f>IF(Assessment_Sheet[[#This Row],[NAME ]]="","",ROUND((G762/60*40),0))</f>
        <v/>
      </c>
      <c r="I762" s="15" t="str">
        <f t="shared" si="12"/>
        <v/>
      </c>
      <c r="J762" s="16" t="str">
        <f>IF(B762="","",IF(OR(F762="",G762=""),"IC",VLOOKUP(I762,Scale[],2,1)))</f>
        <v/>
      </c>
    </row>
    <row r="763" spans="1:10" x14ac:dyDescent="0.35">
      <c r="A763" s="34"/>
      <c r="B763" s="35"/>
      <c r="C763" s="34"/>
      <c r="D763" s="34"/>
      <c r="E763" s="34"/>
      <c r="F763" s="46"/>
      <c r="G763" s="46"/>
      <c r="H763" s="14" t="str">
        <f>IF(Assessment_Sheet[[#This Row],[NAME ]]="","",ROUND((G763/60*40),0))</f>
        <v/>
      </c>
      <c r="I763" s="15" t="str">
        <f t="shared" si="12"/>
        <v/>
      </c>
      <c r="J763" s="16" t="str">
        <f>IF(B763="","",IF(OR(F763="",G763=""),"IC",VLOOKUP(I763,Scale[],2,1)))</f>
        <v/>
      </c>
    </row>
    <row r="764" spans="1:10" x14ac:dyDescent="0.35">
      <c r="A764" s="34"/>
      <c r="B764" s="35"/>
      <c r="C764" s="34"/>
      <c r="D764" s="34"/>
      <c r="E764" s="34"/>
      <c r="F764" s="46"/>
      <c r="G764" s="46"/>
      <c r="H764" s="14" t="str">
        <f>IF(Assessment_Sheet[[#This Row],[NAME ]]="","",ROUND((G764/60*40),0))</f>
        <v/>
      </c>
      <c r="I764" s="15" t="str">
        <f t="shared" si="12"/>
        <v/>
      </c>
      <c r="J764" s="16" t="str">
        <f>IF(B764="","",IF(OR(F764="",G764=""),"IC",VLOOKUP(I764,Scale[],2,1)))</f>
        <v/>
      </c>
    </row>
    <row r="765" spans="1:10" x14ac:dyDescent="0.35">
      <c r="A765" s="34"/>
      <c r="B765" s="35"/>
      <c r="C765" s="34"/>
      <c r="D765" s="34"/>
      <c r="E765" s="34"/>
      <c r="F765" s="46"/>
      <c r="G765" s="46"/>
      <c r="H765" s="14" t="str">
        <f>IF(Assessment_Sheet[[#This Row],[NAME ]]="","",ROUND((G765/60*40),0))</f>
        <v/>
      </c>
      <c r="I765" s="15" t="str">
        <f t="shared" si="12"/>
        <v/>
      </c>
      <c r="J765" s="16" t="str">
        <f>IF(B765="","",IF(OR(F765="",G765=""),"IC",VLOOKUP(I765,Scale[],2,1)))</f>
        <v/>
      </c>
    </row>
    <row r="766" spans="1:10" x14ac:dyDescent="0.35">
      <c r="A766" s="34"/>
      <c r="B766" s="35"/>
      <c r="C766" s="34"/>
      <c r="D766" s="34"/>
      <c r="E766" s="34"/>
      <c r="F766" s="46"/>
      <c r="G766" s="46"/>
      <c r="H766" s="14" t="str">
        <f>IF(Assessment_Sheet[[#This Row],[NAME ]]="","",ROUND((G766/60*40),0))</f>
        <v/>
      </c>
      <c r="I766" s="15" t="str">
        <f t="shared" si="12"/>
        <v/>
      </c>
      <c r="J766" s="16" t="str">
        <f>IF(B766="","",IF(OR(F766="",G766=""),"IC",VLOOKUP(I766,Scale[],2,1)))</f>
        <v/>
      </c>
    </row>
    <row r="767" spans="1:10" x14ac:dyDescent="0.35">
      <c r="A767" s="34"/>
      <c r="B767" s="35"/>
      <c r="C767" s="34"/>
      <c r="D767" s="34"/>
      <c r="E767" s="34"/>
      <c r="F767" s="46"/>
      <c r="G767" s="46"/>
      <c r="H767" s="14" t="str">
        <f>IF(Assessment_Sheet[[#This Row],[NAME ]]="","",ROUND((G767/60*40),0))</f>
        <v/>
      </c>
      <c r="I767" s="15" t="str">
        <f t="shared" si="12"/>
        <v/>
      </c>
      <c r="J767" s="16" t="str">
        <f>IF(B767="","",IF(OR(F767="",G767=""),"IC",VLOOKUP(I767,Scale[],2,1)))</f>
        <v/>
      </c>
    </row>
    <row r="768" spans="1:10" x14ac:dyDescent="0.35">
      <c r="A768" s="34"/>
      <c r="B768" s="35"/>
      <c r="C768" s="34"/>
      <c r="D768" s="34"/>
      <c r="E768" s="34"/>
      <c r="F768" s="46"/>
      <c r="G768" s="46"/>
      <c r="H768" s="14" t="str">
        <f>IF(Assessment_Sheet[[#This Row],[NAME ]]="","",ROUND((G768/60*40),0))</f>
        <v/>
      </c>
      <c r="I768" s="15" t="str">
        <f t="shared" si="12"/>
        <v/>
      </c>
      <c r="J768" s="16" t="str">
        <f>IF(B768="","",IF(OR(F768="",G768=""),"IC",VLOOKUP(I768,Scale[],2,1)))</f>
        <v/>
      </c>
    </row>
    <row r="769" spans="1:10" x14ac:dyDescent="0.35">
      <c r="A769" s="34"/>
      <c r="B769" s="35"/>
      <c r="C769" s="34"/>
      <c r="D769" s="34"/>
      <c r="E769" s="34"/>
      <c r="F769" s="46"/>
      <c r="G769" s="46"/>
      <c r="H769" s="14" t="str">
        <f>IF(Assessment_Sheet[[#This Row],[NAME ]]="","",ROUND((G769/60*40),0))</f>
        <v/>
      </c>
      <c r="I769" s="15" t="str">
        <f t="shared" si="12"/>
        <v/>
      </c>
      <c r="J769" s="16" t="str">
        <f>IF(B769="","",IF(OR(F769="",G769=""),"IC",VLOOKUP(I769,Scale[],2,1)))</f>
        <v/>
      </c>
    </row>
    <row r="770" spans="1:10" x14ac:dyDescent="0.35">
      <c r="A770" s="34"/>
      <c r="B770" s="35"/>
      <c r="C770" s="34"/>
      <c r="D770" s="34"/>
      <c r="E770" s="34"/>
      <c r="F770" s="46"/>
      <c r="G770" s="46"/>
      <c r="H770" s="14" t="str">
        <f>IF(Assessment_Sheet[[#This Row],[NAME ]]="","",ROUND((G770/60*40),0))</f>
        <v/>
      </c>
      <c r="I770" s="15" t="str">
        <f t="shared" si="12"/>
        <v/>
      </c>
      <c r="J770" s="16" t="str">
        <f>IF(B770="","",IF(OR(F770="",G770=""),"IC",VLOOKUP(I770,Scale[],2,1)))</f>
        <v/>
      </c>
    </row>
    <row r="771" spans="1:10" x14ac:dyDescent="0.35">
      <c r="A771" s="34"/>
      <c r="B771" s="35"/>
      <c r="C771" s="34"/>
      <c r="D771" s="34"/>
      <c r="E771" s="34"/>
      <c r="F771" s="46"/>
      <c r="G771" s="46"/>
      <c r="H771" s="14" t="str">
        <f>IF(Assessment_Sheet[[#This Row],[NAME ]]="","",ROUND((G771/60*40),0))</f>
        <v/>
      </c>
      <c r="I771" s="15" t="str">
        <f t="shared" si="12"/>
        <v/>
      </c>
      <c r="J771" s="16" t="str">
        <f>IF(B771="","",IF(OR(F771="",G771=""),"IC",VLOOKUP(I771,Scale[],2,1)))</f>
        <v/>
      </c>
    </row>
    <row r="772" spans="1:10" x14ac:dyDescent="0.35">
      <c r="A772" s="34"/>
      <c r="B772" s="35"/>
      <c r="C772" s="34"/>
      <c r="D772" s="34"/>
      <c r="E772" s="34"/>
      <c r="F772" s="46"/>
      <c r="G772" s="46"/>
      <c r="H772" s="14" t="str">
        <f>IF(Assessment_Sheet[[#This Row],[NAME ]]="","",ROUND((G772/60*40),0))</f>
        <v/>
      </c>
      <c r="I772" s="15" t="str">
        <f t="shared" si="12"/>
        <v/>
      </c>
      <c r="J772" s="16" t="str">
        <f>IF(B772="","",IF(OR(F772="",G772=""),"IC",VLOOKUP(I772,Scale[],2,1)))</f>
        <v/>
      </c>
    </row>
    <row r="773" spans="1:10" x14ac:dyDescent="0.35">
      <c r="A773" s="34"/>
      <c r="B773" s="35"/>
      <c r="C773" s="34"/>
      <c r="D773" s="34"/>
      <c r="E773" s="34"/>
      <c r="F773" s="46"/>
      <c r="G773" s="46"/>
      <c r="H773" s="14" t="str">
        <f>IF(Assessment_Sheet[[#This Row],[NAME ]]="","",ROUND((G773/60*40),0))</f>
        <v/>
      </c>
      <c r="I773" s="15" t="str">
        <f t="shared" si="12"/>
        <v/>
      </c>
      <c r="J773" s="16" t="str">
        <f>IF(B773="","",IF(OR(F773="",G773=""),"IC",VLOOKUP(I773,Scale[],2,1)))</f>
        <v/>
      </c>
    </row>
    <row r="774" spans="1:10" x14ac:dyDescent="0.35">
      <c r="A774" s="34"/>
      <c r="B774" s="35"/>
      <c r="C774" s="34"/>
      <c r="D774" s="34"/>
      <c r="E774" s="34"/>
      <c r="F774" s="46"/>
      <c r="G774" s="46"/>
      <c r="H774" s="14" t="str">
        <f>IF(Assessment_Sheet[[#This Row],[NAME ]]="","",ROUND((G774/60*40),0))</f>
        <v/>
      </c>
      <c r="I774" s="15" t="str">
        <f t="shared" si="12"/>
        <v/>
      </c>
      <c r="J774" s="16" t="str">
        <f>IF(B774="","",IF(OR(F774="",G774=""),"IC",VLOOKUP(I774,Scale[],2,1)))</f>
        <v/>
      </c>
    </row>
    <row r="775" spans="1:10" x14ac:dyDescent="0.35">
      <c r="A775" s="34"/>
      <c r="B775" s="35"/>
      <c r="C775" s="34"/>
      <c r="D775" s="34"/>
      <c r="E775" s="34"/>
      <c r="F775" s="46"/>
      <c r="G775" s="46"/>
      <c r="H775" s="14" t="str">
        <f>IF(Assessment_Sheet[[#This Row],[NAME ]]="","",ROUND((G775/60*40),0))</f>
        <v/>
      </c>
      <c r="I775" s="15" t="str">
        <f t="shared" si="12"/>
        <v/>
      </c>
      <c r="J775" s="16" t="str">
        <f>IF(B775="","",IF(OR(F775="",G775=""),"IC",VLOOKUP(I775,Scale[],2,1)))</f>
        <v/>
      </c>
    </row>
    <row r="776" spans="1:10" x14ac:dyDescent="0.35">
      <c r="A776" s="34"/>
      <c r="B776" s="35"/>
      <c r="C776" s="34"/>
      <c r="D776" s="34"/>
      <c r="E776" s="34"/>
      <c r="F776" s="46"/>
      <c r="G776" s="46"/>
      <c r="H776" s="14" t="str">
        <f>IF(Assessment_Sheet[[#This Row],[NAME ]]="","",ROUND((G776/60*40),0))</f>
        <v/>
      </c>
      <c r="I776" s="15" t="str">
        <f t="shared" ref="I776:I839" si="13">IFERROR(ROUND((F776+H776),0),"")</f>
        <v/>
      </c>
      <c r="J776" s="16" t="str">
        <f>IF(B776="","",IF(OR(F776="",G776=""),"IC",VLOOKUP(I776,Scale[],2,1)))</f>
        <v/>
      </c>
    </row>
    <row r="777" spans="1:10" x14ac:dyDescent="0.35">
      <c r="A777" s="34"/>
      <c r="B777" s="35"/>
      <c r="C777" s="34"/>
      <c r="D777" s="34"/>
      <c r="E777" s="34"/>
      <c r="F777" s="46"/>
      <c r="G777" s="46"/>
      <c r="H777" s="14" t="str">
        <f>IF(Assessment_Sheet[[#This Row],[NAME ]]="","",ROUND((G777/60*40),0))</f>
        <v/>
      </c>
      <c r="I777" s="15" t="str">
        <f t="shared" si="13"/>
        <v/>
      </c>
      <c r="J777" s="16" t="str">
        <f>IF(B777="","",IF(OR(F777="",G777=""),"IC",VLOOKUP(I777,Scale[],2,1)))</f>
        <v/>
      </c>
    </row>
    <row r="778" spans="1:10" x14ac:dyDescent="0.35">
      <c r="A778" s="34"/>
      <c r="B778" s="35"/>
      <c r="C778" s="34"/>
      <c r="D778" s="34"/>
      <c r="E778" s="34"/>
      <c r="F778" s="46"/>
      <c r="G778" s="46"/>
      <c r="H778" s="14" t="str">
        <f>IF(Assessment_Sheet[[#This Row],[NAME ]]="","",ROUND((G778/60*40),0))</f>
        <v/>
      </c>
      <c r="I778" s="15" t="str">
        <f t="shared" si="13"/>
        <v/>
      </c>
      <c r="J778" s="16" t="str">
        <f>IF(B778="","",IF(OR(F778="",G778=""),"IC",VLOOKUP(I778,Scale[],2,1)))</f>
        <v/>
      </c>
    </row>
    <row r="779" spans="1:10" x14ac:dyDescent="0.35">
      <c r="A779" s="34"/>
      <c r="B779" s="35"/>
      <c r="C779" s="34"/>
      <c r="D779" s="34"/>
      <c r="E779" s="34"/>
      <c r="F779" s="46"/>
      <c r="G779" s="46"/>
      <c r="H779" s="14" t="str">
        <f>IF(Assessment_Sheet[[#This Row],[NAME ]]="","",ROUND((G779/60*40),0))</f>
        <v/>
      </c>
      <c r="I779" s="15" t="str">
        <f t="shared" si="13"/>
        <v/>
      </c>
      <c r="J779" s="16" t="str">
        <f>IF(B779="","",IF(OR(F779="",G779=""),"IC",VLOOKUP(I779,Scale[],2,1)))</f>
        <v/>
      </c>
    </row>
    <row r="780" spans="1:10" x14ac:dyDescent="0.35">
      <c r="A780" s="34"/>
      <c r="B780" s="35"/>
      <c r="C780" s="34"/>
      <c r="D780" s="34"/>
      <c r="E780" s="34"/>
      <c r="F780" s="46"/>
      <c r="G780" s="46"/>
      <c r="H780" s="14" t="str">
        <f>IF(Assessment_Sheet[[#This Row],[NAME ]]="","",ROUND((G780/60*40),0))</f>
        <v/>
      </c>
      <c r="I780" s="15" t="str">
        <f t="shared" si="13"/>
        <v/>
      </c>
      <c r="J780" s="16" t="str">
        <f>IF(B780="","",IF(OR(F780="",G780=""),"IC",VLOOKUP(I780,Scale[],2,1)))</f>
        <v/>
      </c>
    </row>
    <row r="781" spans="1:10" x14ac:dyDescent="0.35">
      <c r="A781" s="34"/>
      <c r="B781" s="35"/>
      <c r="C781" s="34"/>
      <c r="D781" s="34"/>
      <c r="E781" s="34"/>
      <c r="F781" s="46"/>
      <c r="G781" s="46"/>
      <c r="H781" s="14" t="str">
        <f>IF(Assessment_Sheet[[#This Row],[NAME ]]="","",ROUND((G781/60*40),0))</f>
        <v/>
      </c>
      <c r="I781" s="15" t="str">
        <f t="shared" si="13"/>
        <v/>
      </c>
      <c r="J781" s="16" t="str">
        <f>IF(B781="","",IF(OR(F781="",G781=""),"IC",VLOOKUP(I781,Scale[],2,1)))</f>
        <v/>
      </c>
    </row>
    <row r="782" spans="1:10" x14ac:dyDescent="0.35">
      <c r="A782" s="34"/>
      <c r="B782" s="35"/>
      <c r="C782" s="34"/>
      <c r="D782" s="34"/>
      <c r="E782" s="34"/>
      <c r="F782" s="46"/>
      <c r="G782" s="46"/>
      <c r="H782" s="14" t="str">
        <f>IF(Assessment_Sheet[[#This Row],[NAME ]]="","",ROUND((G782/60*40),0))</f>
        <v/>
      </c>
      <c r="I782" s="15" t="str">
        <f t="shared" si="13"/>
        <v/>
      </c>
      <c r="J782" s="16" t="str">
        <f>IF(B782="","",IF(OR(F782="",G782=""),"IC",VLOOKUP(I782,Scale[],2,1)))</f>
        <v/>
      </c>
    </row>
    <row r="783" spans="1:10" x14ac:dyDescent="0.35">
      <c r="A783" s="34"/>
      <c r="B783" s="35"/>
      <c r="C783" s="34"/>
      <c r="D783" s="34"/>
      <c r="E783" s="34"/>
      <c r="F783" s="46"/>
      <c r="G783" s="46"/>
      <c r="H783" s="14" t="str">
        <f>IF(Assessment_Sheet[[#This Row],[NAME ]]="","",ROUND((G783/60*40),0))</f>
        <v/>
      </c>
      <c r="I783" s="15" t="str">
        <f t="shared" si="13"/>
        <v/>
      </c>
      <c r="J783" s="16" t="str">
        <f>IF(B783="","",IF(OR(F783="",G783=""),"IC",VLOOKUP(I783,Scale[],2,1)))</f>
        <v/>
      </c>
    </row>
    <row r="784" spans="1:10" x14ac:dyDescent="0.35">
      <c r="A784" s="34"/>
      <c r="B784" s="35"/>
      <c r="C784" s="34"/>
      <c r="D784" s="34"/>
      <c r="E784" s="34"/>
      <c r="F784" s="46"/>
      <c r="G784" s="46"/>
      <c r="H784" s="14" t="str">
        <f>IF(Assessment_Sheet[[#This Row],[NAME ]]="","",ROUND((G784/60*40),0))</f>
        <v/>
      </c>
      <c r="I784" s="15" t="str">
        <f t="shared" si="13"/>
        <v/>
      </c>
      <c r="J784" s="16" t="str">
        <f>IF(B784="","",IF(OR(F784="",G784=""),"IC",VLOOKUP(I784,Scale[],2,1)))</f>
        <v/>
      </c>
    </row>
    <row r="785" spans="1:10" x14ac:dyDescent="0.35">
      <c r="A785" s="34"/>
      <c r="B785" s="35"/>
      <c r="C785" s="34"/>
      <c r="D785" s="34"/>
      <c r="E785" s="34"/>
      <c r="F785" s="46"/>
      <c r="G785" s="46"/>
      <c r="H785" s="14" t="str">
        <f>IF(Assessment_Sheet[[#This Row],[NAME ]]="","",ROUND((G785/60*40),0))</f>
        <v/>
      </c>
      <c r="I785" s="15" t="str">
        <f t="shared" si="13"/>
        <v/>
      </c>
      <c r="J785" s="16" t="str">
        <f>IF(B785="","",IF(OR(F785="",G785=""),"IC",VLOOKUP(I785,Scale[],2,1)))</f>
        <v/>
      </c>
    </row>
    <row r="786" spans="1:10" x14ac:dyDescent="0.35">
      <c r="A786" s="34"/>
      <c r="B786" s="35"/>
      <c r="C786" s="34"/>
      <c r="D786" s="34"/>
      <c r="E786" s="34"/>
      <c r="F786" s="46"/>
      <c r="G786" s="46"/>
      <c r="H786" s="14" t="str">
        <f>IF(Assessment_Sheet[[#This Row],[NAME ]]="","",ROUND((G786/60*40),0))</f>
        <v/>
      </c>
      <c r="I786" s="15" t="str">
        <f t="shared" si="13"/>
        <v/>
      </c>
      <c r="J786" s="16" t="str">
        <f>IF(B786="","",IF(OR(F786="",G786=""),"IC",VLOOKUP(I786,Scale[],2,1)))</f>
        <v/>
      </c>
    </row>
    <row r="787" spans="1:10" x14ac:dyDescent="0.35">
      <c r="A787" s="34"/>
      <c r="B787" s="35"/>
      <c r="C787" s="34"/>
      <c r="D787" s="34"/>
      <c r="E787" s="34"/>
      <c r="F787" s="46"/>
      <c r="G787" s="46"/>
      <c r="H787" s="14" t="str">
        <f>IF(Assessment_Sheet[[#This Row],[NAME ]]="","",ROUND((G787/60*40),0))</f>
        <v/>
      </c>
      <c r="I787" s="15" t="str">
        <f t="shared" si="13"/>
        <v/>
      </c>
      <c r="J787" s="16" t="str">
        <f>IF(B787="","",IF(OR(F787="",G787=""),"IC",VLOOKUP(I787,Scale[],2,1)))</f>
        <v/>
      </c>
    </row>
    <row r="788" spans="1:10" x14ac:dyDescent="0.35">
      <c r="A788" s="34"/>
      <c r="B788" s="35"/>
      <c r="C788" s="34"/>
      <c r="D788" s="34"/>
      <c r="E788" s="34"/>
      <c r="F788" s="46"/>
      <c r="G788" s="46"/>
      <c r="H788" s="14" t="str">
        <f>IF(Assessment_Sheet[[#This Row],[NAME ]]="","",ROUND((G788/60*40),0))</f>
        <v/>
      </c>
      <c r="I788" s="15" t="str">
        <f t="shared" si="13"/>
        <v/>
      </c>
      <c r="J788" s="16" t="str">
        <f>IF(B788="","",IF(OR(F788="",G788=""),"IC",VLOOKUP(I788,Scale[],2,1)))</f>
        <v/>
      </c>
    </row>
    <row r="789" spans="1:10" x14ac:dyDescent="0.35">
      <c r="A789" s="34"/>
      <c r="B789" s="35"/>
      <c r="C789" s="34"/>
      <c r="D789" s="34"/>
      <c r="E789" s="34"/>
      <c r="F789" s="46"/>
      <c r="G789" s="46"/>
      <c r="H789" s="14" t="str">
        <f>IF(Assessment_Sheet[[#This Row],[NAME ]]="","",ROUND((G789/60*40),0))</f>
        <v/>
      </c>
      <c r="I789" s="15" t="str">
        <f t="shared" si="13"/>
        <v/>
      </c>
      <c r="J789" s="16" t="str">
        <f>IF(B789="","",IF(OR(F789="",G789=""),"IC",VLOOKUP(I789,Scale[],2,1)))</f>
        <v/>
      </c>
    </row>
    <row r="790" spans="1:10" x14ac:dyDescent="0.35">
      <c r="A790" s="34"/>
      <c r="B790" s="35"/>
      <c r="C790" s="34"/>
      <c r="D790" s="34"/>
      <c r="E790" s="34"/>
      <c r="F790" s="46"/>
      <c r="G790" s="46"/>
      <c r="H790" s="14" t="str">
        <f>IF(Assessment_Sheet[[#This Row],[NAME ]]="","",ROUND((G790/60*40),0))</f>
        <v/>
      </c>
      <c r="I790" s="15" t="str">
        <f t="shared" si="13"/>
        <v/>
      </c>
      <c r="J790" s="16" t="str">
        <f>IF(B790="","",IF(OR(F790="",G790=""),"IC",VLOOKUP(I790,Scale[],2,1)))</f>
        <v/>
      </c>
    </row>
    <row r="791" spans="1:10" x14ac:dyDescent="0.35">
      <c r="A791" s="34"/>
      <c r="B791" s="35"/>
      <c r="C791" s="34"/>
      <c r="D791" s="34"/>
      <c r="E791" s="34"/>
      <c r="F791" s="46"/>
      <c r="G791" s="46"/>
      <c r="H791" s="14" t="str">
        <f>IF(Assessment_Sheet[[#This Row],[NAME ]]="","",ROUND((G791/60*40),0))</f>
        <v/>
      </c>
      <c r="I791" s="15" t="str">
        <f t="shared" si="13"/>
        <v/>
      </c>
      <c r="J791" s="16" t="str">
        <f>IF(B791="","",IF(OR(F791="",G791=""),"IC",VLOOKUP(I791,Scale[],2,1)))</f>
        <v/>
      </c>
    </row>
    <row r="792" spans="1:10" x14ac:dyDescent="0.35">
      <c r="A792" s="34"/>
      <c r="B792" s="35"/>
      <c r="C792" s="34"/>
      <c r="D792" s="34"/>
      <c r="E792" s="34"/>
      <c r="F792" s="46"/>
      <c r="G792" s="46"/>
      <c r="H792" s="14" t="str">
        <f>IF(Assessment_Sheet[[#This Row],[NAME ]]="","",ROUND((G792/60*40),0))</f>
        <v/>
      </c>
      <c r="I792" s="15" t="str">
        <f t="shared" si="13"/>
        <v/>
      </c>
      <c r="J792" s="16" t="str">
        <f>IF(B792="","",IF(OR(F792="",G792=""),"IC",VLOOKUP(I792,Scale[],2,1)))</f>
        <v/>
      </c>
    </row>
    <row r="793" spans="1:10" x14ac:dyDescent="0.35">
      <c r="A793" s="34"/>
      <c r="B793" s="35"/>
      <c r="C793" s="34"/>
      <c r="D793" s="34"/>
      <c r="E793" s="34"/>
      <c r="F793" s="46"/>
      <c r="G793" s="46"/>
      <c r="H793" s="14" t="str">
        <f>IF(Assessment_Sheet[[#This Row],[NAME ]]="","",ROUND((G793/60*40),0))</f>
        <v/>
      </c>
      <c r="I793" s="15" t="str">
        <f t="shared" si="13"/>
        <v/>
      </c>
      <c r="J793" s="16" t="str">
        <f>IF(B793="","",IF(OR(F793="",G793=""),"IC",VLOOKUP(I793,Scale[],2,1)))</f>
        <v/>
      </c>
    </row>
    <row r="794" spans="1:10" x14ac:dyDescent="0.35">
      <c r="A794" s="34"/>
      <c r="B794" s="35"/>
      <c r="C794" s="34"/>
      <c r="D794" s="34"/>
      <c r="E794" s="34"/>
      <c r="F794" s="46"/>
      <c r="G794" s="46"/>
      <c r="H794" s="14" t="str">
        <f>IF(Assessment_Sheet[[#This Row],[NAME ]]="","",ROUND((G794/60*40),0))</f>
        <v/>
      </c>
      <c r="I794" s="15" t="str">
        <f t="shared" si="13"/>
        <v/>
      </c>
      <c r="J794" s="16" t="str">
        <f>IF(B794="","",IF(OR(F794="",G794=""),"IC",VLOOKUP(I794,Scale[],2,1)))</f>
        <v/>
      </c>
    </row>
    <row r="795" spans="1:10" x14ac:dyDescent="0.35">
      <c r="A795" s="34"/>
      <c r="B795" s="35"/>
      <c r="C795" s="34"/>
      <c r="D795" s="34"/>
      <c r="E795" s="34"/>
      <c r="F795" s="46"/>
      <c r="G795" s="46"/>
      <c r="H795" s="14" t="str">
        <f>IF(Assessment_Sheet[[#This Row],[NAME ]]="","",ROUND((G795/60*40),0))</f>
        <v/>
      </c>
      <c r="I795" s="15" t="str">
        <f t="shared" si="13"/>
        <v/>
      </c>
      <c r="J795" s="16" t="str">
        <f>IF(B795="","",IF(OR(F795="",G795=""),"IC",VLOOKUP(I795,Scale[],2,1)))</f>
        <v/>
      </c>
    </row>
    <row r="796" spans="1:10" x14ac:dyDescent="0.35">
      <c r="A796" s="34"/>
      <c r="B796" s="35"/>
      <c r="C796" s="34"/>
      <c r="D796" s="34"/>
      <c r="E796" s="34"/>
      <c r="F796" s="46"/>
      <c r="G796" s="46"/>
      <c r="H796" s="14" t="str">
        <f>IF(Assessment_Sheet[[#This Row],[NAME ]]="","",ROUND((G796/60*40),0))</f>
        <v/>
      </c>
      <c r="I796" s="15" t="str">
        <f t="shared" si="13"/>
        <v/>
      </c>
      <c r="J796" s="16" t="str">
        <f>IF(B796="","",IF(OR(F796="",G796=""),"IC",VLOOKUP(I796,Scale[],2,1)))</f>
        <v/>
      </c>
    </row>
    <row r="797" spans="1:10" x14ac:dyDescent="0.35">
      <c r="A797" s="34"/>
      <c r="B797" s="35"/>
      <c r="C797" s="34"/>
      <c r="D797" s="34"/>
      <c r="E797" s="34"/>
      <c r="F797" s="46"/>
      <c r="G797" s="46"/>
      <c r="H797" s="14" t="str">
        <f>IF(Assessment_Sheet[[#This Row],[NAME ]]="","",ROUND((G797/60*40),0))</f>
        <v/>
      </c>
      <c r="I797" s="15" t="str">
        <f t="shared" si="13"/>
        <v/>
      </c>
      <c r="J797" s="16" t="str">
        <f>IF(B797="","",IF(OR(F797="",G797=""),"IC",VLOOKUP(I797,Scale[],2,1)))</f>
        <v/>
      </c>
    </row>
    <row r="798" spans="1:10" x14ac:dyDescent="0.35">
      <c r="A798" s="34"/>
      <c r="B798" s="35"/>
      <c r="C798" s="34"/>
      <c r="D798" s="34"/>
      <c r="E798" s="34"/>
      <c r="F798" s="46"/>
      <c r="G798" s="46"/>
      <c r="H798" s="14" t="str">
        <f>IF(Assessment_Sheet[[#This Row],[NAME ]]="","",ROUND((G798/60*40),0))</f>
        <v/>
      </c>
      <c r="I798" s="15" t="str">
        <f t="shared" si="13"/>
        <v/>
      </c>
      <c r="J798" s="16" t="str">
        <f>IF(B798="","",IF(OR(F798="",G798=""),"IC",VLOOKUP(I798,Scale[],2,1)))</f>
        <v/>
      </c>
    </row>
    <row r="799" spans="1:10" x14ac:dyDescent="0.35">
      <c r="A799" s="34"/>
      <c r="B799" s="35"/>
      <c r="C799" s="34"/>
      <c r="D799" s="34"/>
      <c r="E799" s="34"/>
      <c r="F799" s="46"/>
      <c r="G799" s="46"/>
      <c r="H799" s="14" t="str">
        <f>IF(Assessment_Sheet[[#This Row],[NAME ]]="","",ROUND((G799/60*40),0))</f>
        <v/>
      </c>
      <c r="I799" s="15" t="str">
        <f t="shared" si="13"/>
        <v/>
      </c>
      <c r="J799" s="16" t="str">
        <f>IF(B799="","",IF(OR(F799="",G799=""),"IC",VLOOKUP(I799,Scale[],2,1)))</f>
        <v/>
      </c>
    </row>
    <row r="800" spans="1:10" x14ac:dyDescent="0.35">
      <c r="A800" s="34"/>
      <c r="B800" s="35"/>
      <c r="C800" s="34"/>
      <c r="D800" s="34"/>
      <c r="E800" s="34"/>
      <c r="F800" s="46"/>
      <c r="G800" s="46"/>
      <c r="H800" s="14" t="str">
        <f>IF(Assessment_Sheet[[#This Row],[NAME ]]="","",ROUND((G800/60*40),0))</f>
        <v/>
      </c>
      <c r="I800" s="15" t="str">
        <f t="shared" si="13"/>
        <v/>
      </c>
      <c r="J800" s="16" t="str">
        <f>IF(B800="","",IF(OR(F800="",G800=""),"IC",VLOOKUP(I800,Scale[],2,1)))</f>
        <v/>
      </c>
    </row>
    <row r="801" spans="1:10" x14ac:dyDescent="0.35">
      <c r="A801" s="34"/>
      <c r="B801" s="35"/>
      <c r="C801" s="34"/>
      <c r="D801" s="34"/>
      <c r="E801" s="34"/>
      <c r="F801" s="46"/>
      <c r="G801" s="46"/>
      <c r="H801" s="14" t="str">
        <f>IF(Assessment_Sheet[[#This Row],[NAME ]]="","",ROUND((G801/60*40),0))</f>
        <v/>
      </c>
      <c r="I801" s="15" t="str">
        <f t="shared" si="13"/>
        <v/>
      </c>
      <c r="J801" s="16" t="str">
        <f>IF(B801="","",IF(OR(F801="",G801=""),"IC",VLOOKUP(I801,Scale[],2,1)))</f>
        <v/>
      </c>
    </row>
    <row r="802" spans="1:10" x14ac:dyDescent="0.35">
      <c r="A802" s="34"/>
      <c r="B802" s="35"/>
      <c r="C802" s="34"/>
      <c r="D802" s="34"/>
      <c r="E802" s="34"/>
      <c r="F802" s="46"/>
      <c r="G802" s="46"/>
      <c r="H802" s="14" t="str">
        <f>IF(Assessment_Sheet[[#This Row],[NAME ]]="","",ROUND((G802/60*40),0))</f>
        <v/>
      </c>
      <c r="I802" s="15" t="str">
        <f t="shared" si="13"/>
        <v/>
      </c>
      <c r="J802" s="16" t="str">
        <f>IF(B802="","",IF(OR(F802="",G802=""),"IC",VLOOKUP(I802,Scale[],2,1)))</f>
        <v/>
      </c>
    </row>
    <row r="803" spans="1:10" x14ac:dyDescent="0.35">
      <c r="A803" s="34"/>
      <c r="B803" s="35"/>
      <c r="C803" s="34"/>
      <c r="D803" s="34"/>
      <c r="E803" s="34"/>
      <c r="F803" s="46"/>
      <c r="G803" s="46"/>
      <c r="H803" s="14" t="str">
        <f>IF(Assessment_Sheet[[#This Row],[NAME ]]="","",ROUND((G803/60*40),0))</f>
        <v/>
      </c>
      <c r="I803" s="15" t="str">
        <f t="shared" si="13"/>
        <v/>
      </c>
      <c r="J803" s="16" t="str">
        <f>IF(B803="","",IF(OR(F803="",G803=""),"IC",VLOOKUP(I803,Scale[],2,1)))</f>
        <v/>
      </c>
    </row>
    <row r="804" spans="1:10" x14ac:dyDescent="0.35">
      <c r="A804" s="34"/>
      <c r="B804" s="35"/>
      <c r="C804" s="34"/>
      <c r="D804" s="34"/>
      <c r="E804" s="34"/>
      <c r="F804" s="46"/>
      <c r="G804" s="46"/>
      <c r="H804" s="14" t="str">
        <f>IF(Assessment_Sheet[[#This Row],[NAME ]]="","",ROUND((G804/60*40),0))</f>
        <v/>
      </c>
      <c r="I804" s="15" t="str">
        <f t="shared" si="13"/>
        <v/>
      </c>
      <c r="J804" s="16" t="str">
        <f>IF(B804="","",IF(OR(F804="",G804=""),"IC",VLOOKUP(I804,Scale[],2,1)))</f>
        <v/>
      </c>
    </row>
    <row r="805" spans="1:10" x14ac:dyDescent="0.35">
      <c r="A805" s="34"/>
      <c r="B805" s="35"/>
      <c r="C805" s="34"/>
      <c r="D805" s="34"/>
      <c r="E805" s="34"/>
      <c r="F805" s="46"/>
      <c r="G805" s="46"/>
      <c r="H805" s="14" t="str">
        <f>IF(Assessment_Sheet[[#This Row],[NAME ]]="","",ROUND((G805/60*40),0))</f>
        <v/>
      </c>
      <c r="I805" s="15" t="str">
        <f t="shared" si="13"/>
        <v/>
      </c>
      <c r="J805" s="16" t="str">
        <f>IF(B805="","",IF(OR(F805="",G805=""),"IC",VLOOKUP(I805,Scale[],2,1)))</f>
        <v/>
      </c>
    </row>
    <row r="806" spans="1:10" x14ac:dyDescent="0.35">
      <c r="A806" s="34"/>
      <c r="B806" s="35"/>
      <c r="C806" s="34"/>
      <c r="D806" s="34"/>
      <c r="E806" s="34"/>
      <c r="F806" s="46"/>
      <c r="G806" s="46"/>
      <c r="H806" s="14" t="str">
        <f>IF(Assessment_Sheet[[#This Row],[NAME ]]="","",ROUND((G806/60*40),0))</f>
        <v/>
      </c>
      <c r="I806" s="15" t="str">
        <f t="shared" si="13"/>
        <v/>
      </c>
      <c r="J806" s="16" t="str">
        <f>IF(B806="","",IF(OR(F806="",G806=""),"IC",VLOOKUP(I806,Scale[],2,1)))</f>
        <v/>
      </c>
    </row>
    <row r="807" spans="1:10" x14ac:dyDescent="0.35">
      <c r="A807" s="34"/>
      <c r="B807" s="35"/>
      <c r="C807" s="34"/>
      <c r="D807" s="34"/>
      <c r="E807" s="34"/>
      <c r="F807" s="46"/>
      <c r="G807" s="46"/>
      <c r="H807" s="14" t="str">
        <f>IF(Assessment_Sheet[[#This Row],[NAME ]]="","",ROUND((G807/60*40),0))</f>
        <v/>
      </c>
      <c r="I807" s="15" t="str">
        <f t="shared" si="13"/>
        <v/>
      </c>
      <c r="J807" s="16" t="str">
        <f>IF(B807="","",IF(OR(F807="",G807=""),"IC",VLOOKUP(I807,Scale[],2,1)))</f>
        <v/>
      </c>
    </row>
    <row r="808" spans="1:10" x14ac:dyDescent="0.35">
      <c r="A808" s="34"/>
      <c r="B808" s="35"/>
      <c r="C808" s="34"/>
      <c r="D808" s="34"/>
      <c r="E808" s="34"/>
      <c r="F808" s="46"/>
      <c r="G808" s="46"/>
      <c r="H808" s="14" t="str">
        <f>IF(Assessment_Sheet[[#This Row],[NAME ]]="","",ROUND((G808/60*40),0))</f>
        <v/>
      </c>
      <c r="I808" s="15" t="str">
        <f t="shared" si="13"/>
        <v/>
      </c>
      <c r="J808" s="16" t="str">
        <f>IF(B808="","",IF(OR(F808="",G808=""),"IC",VLOOKUP(I808,Scale[],2,1)))</f>
        <v/>
      </c>
    </row>
    <row r="809" spans="1:10" x14ac:dyDescent="0.35">
      <c r="A809" s="34"/>
      <c r="B809" s="35"/>
      <c r="C809" s="34"/>
      <c r="D809" s="34"/>
      <c r="E809" s="34"/>
      <c r="F809" s="46"/>
      <c r="G809" s="46"/>
      <c r="H809" s="14" t="str">
        <f>IF(Assessment_Sheet[[#This Row],[NAME ]]="","",ROUND((G809/60*40),0))</f>
        <v/>
      </c>
      <c r="I809" s="15" t="str">
        <f t="shared" si="13"/>
        <v/>
      </c>
      <c r="J809" s="16" t="str">
        <f>IF(B809="","",IF(OR(F809="",G809=""),"IC",VLOOKUP(I809,Scale[],2,1)))</f>
        <v/>
      </c>
    </row>
    <row r="810" spans="1:10" x14ac:dyDescent="0.35">
      <c r="A810" s="34"/>
      <c r="B810" s="35"/>
      <c r="C810" s="34"/>
      <c r="D810" s="34"/>
      <c r="E810" s="34"/>
      <c r="F810" s="46"/>
      <c r="G810" s="46"/>
      <c r="H810" s="14" t="str">
        <f>IF(Assessment_Sheet[[#This Row],[NAME ]]="","",ROUND((G810/60*40),0))</f>
        <v/>
      </c>
      <c r="I810" s="15" t="str">
        <f t="shared" si="13"/>
        <v/>
      </c>
      <c r="J810" s="16" t="str">
        <f>IF(B810="","",IF(OR(F810="",G810=""),"IC",VLOOKUP(I810,Scale[],2,1)))</f>
        <v/>
      </c>
    </row>
    <row r="811" spans="1:10" x14ac:dyDescent="0.35">
      <c r="A811" s="34"/>
      <c r="B811" s="35"/>
      <c r="C811" s="34"/>
      <c r="D811" s="34"/>
      <c r="E811" s="34"/>
      <c r="F811" s="46"/>
      <c r="G811" s="46"/>
      <c r="H811" s="14" t="str">
        <f>IF(Assessment_Sheet[[#This Row],[NAME ]]="","",ROUND((G811/60*40),0))</f>
        <v/>
      </c>
      <c r="I811" s="15" t="str">
        <f t="shared" si="13"/>
        <v/>
      </c>
      <c r="J811" s="16" t="str">
        <f>IF(B811="","",IF(OR(F811="",G811=""),"IC",VLOOKUP(I811,Scale[],2,1)))</f>
        <v/>
      </c>
    </row>
    <row r="812" spans="1:10" x14ac:dyDescent="0.35">
      <c r="A812" s="34"/>
      <c r="B812" s="35"/>
      <c r="C812" s="34"/>
      <c r="D812" s="34"/>
      <c r="E812" s="34"/>
      <c r="F812" s="46"/>
      <c r="G812" s="46"/>
      <c r="H812" s="14" t="str">
        <f>IF(Assessment_Sheet[[#This Row],[NAME ]]="","",ROUND((G812/60*40),0))</f>
        <v/>
      </c>
      <c r="I812" s="15" t="str">
        <f t="shared" si="13"/>
        <v/>
      </c>
      <c r="J812" s="16" t="str">
        <f>IF(B812="","",IF(OR(F812="",G812=""),"IC",VLOOKUP(I812,Scale[],2,1)))</f>
        <v/>
      </c>
    </row>
    <row r="813" spans="1:10" x14ac:dyDescent="0.35">
      <c r="A813" s="34"/>
      <c r="B813" s="35"/>
      <c r="C813" s="34"/>
      <c r="D813" s="34"/>
      <c r="E813" s="34"/>
      <c r="F813" s="46"/>
      <c r="G813" s="46"/>
      <c r="H813" s="14" t="str">
        <f>IF(Assessment_Sheet[[#This Row],[NAME ]]="","",ROUND((G813/60*40),0))</f>
        <v/>
      </c>
      <c r="I813" s="15" t="str">
        <f t="shared" si="13"/>
        <v/>
      </c>
      <c r="J813" s="16" t="str">
        <f>IF(B813="","",IF(OR(F813="",G813=""),"IC",VLOOKUP(I813,Scale[],2,1)))</f>
        <v/>
      </c>
    </row>
    <row r="814" spans="1:10" x14ac:dyDescent="0.35">
      <c r="A814" s="34"/>
      <c r="B814" s="35"/>
      <c r="C814" s="34"/>
      <c r="D814" s="34"/>
      <c r="E814" s="34"/>
      <c r="F814" s="46"/>
      <c r="G814" s="46"/>
      <c r="H814" s="14" t="str">
        <f>IF(Assessment_Sheet[[#This Row],[NAME ]]="","",ROUND((G814/60*40),0))</f>
        <v/>
      </c>
      <c r="I814" s="15" t="str">
        <f t="shared" si="13"/>
        <v/>
      </c>
      <c r="J814" s="16" t="str">
        <f>IF(B814="","",IF(OR(F814="",G814=""),"IC",VLOOKUP(I814,Scale[],2,1)))</f>
        <v/>
      </c>
    </row>
    <row r="815" spans="1:10" x14ac:dyDescent="0.35">
      <c r="A815" s="34"/>
      <c r="B815" s="35"/>
      <c r="C815" s="34"/>
      <c r="D815" s="34"/>
      <c r="E815" s="34"/>
      <c r="F815" s="46"/>
      <c r="G815" s="46"/>
      <c r="H815" s="14" t="str">
        <f>IF(Assessment_Sheet[[#This Row],[NAME ]]="","",ROUND((G815/60*40),0))</f>
        <v/>
      </c>
      <c r="I815" s="15" t="str">
        <f t="shared" si="13"/>
        <v/>
      </c>
      <c r="J815" s="16" t="str">
        <f>IF(B815="","",IF(OR(F815="",G815=""),"IC",VLOOKUP(I815,Scale[],2,1)))</f>
        <v/>
      </c>
    </row>
    <row r="816" spans="1:10" x14ac:dyDescent="0.35">
      <c r="A816" s="34"/>
      <c r="B816" s="35"/>
      <c r="C816" s="34"/>
      <c r="D816" s="34"/>
      <c r="E816" s="34"/>
      <c r="F816" s="46"/>
      <c r="G816" s="46"/>
      <c r="H816" s="14" t="str">
        <f>IF(Assessment_Sheet[[#This Row],[NAME ]]="","",ROUND((G816/60*40),0))</f>
        <v/>
      </c>
      <c r="I816" s="15" t="str">
        <f t="shared" si="13"/>
        <v/>
      </c>
      <c r="J816" s="16" t="str">
        <f>IF(B816="","",IF(OR(F816="",G816=""),"IC",VLOOKUP(I816,Scale[],2,1)))</f>
        <v/>
      </c>
    </row>
    <row r="817" spans="1:10" x14ac:dyDescent="0.35">
      <c r="A817" s="34"/>
      <c r="B817" s="35"/>
      <c r="C817" s="34"/>
      <c r="D817" s="34"/>
      <c r="E817" s="34"/>
      <c r="F817" s="46"/>
      <c r="G817" s="46"/>
      <c r="H817" s="14" t="str">
        <f>IF(Assessment_Sheet[[#This Row],[NAME ]]="","",ROUND((G817/60*40),0))</f>
        <v/>
      </c>
      <c r="I817" s="15" t="str">
        <f t="shared" si="13"/>
        <v/>
      </c>
      <c r="J817" s="16" t="str">
        <f>IF(B817="","",IF(OR(F817="",G817=""),"IC",VLOOKUP(I817,Scale[],2,1)))</f>
        <v/>
      </c>
    </row>
    <row r="818" spans="1:10" x14ac:dyDescent="0.35">
      <c r="A818" s="34"/>
      <c r="B818" s="35"/>
      <c r="C818" s="34"/>
      <c r="D818" s="34"/>
      <c r="E818" s="34"/>
      <c r="F818" s="46"/>
      <c r="G818" s="46"/>
      <c r="H818" s="14" t="str">
        <f>IF(Assessment_Sheet[[#This Row],[NAME ]]="","",ROUND((G818/60*40),0))</f>
        <v/>
      </c>
      <c r="I818" s="15" t="str">
        <f t="shared" si="13"/>
        <v/>
      </c>
      <c r="J818" s="16" t="str">
        <f>IF(B818="","",IF(OR(F818="",G818=""),"IC",VLOOKUP(I818,Scale[],2,1)))</f>
        <v/>
      </c>
    </row>
    <row r="819" spans="1:10" x14ac:dyDescent="0.35">
      <c r="A819" s="34"/>
      <c r="B819" s="35"/>
      <c r="C819" s="34"/>
      <c r="D819" s="34"/>
      <c r="E819" s="34"/>
      <c r="F819" s="46"/>
      <c r="G819" s="46"/>
      <c r="H819" s="14" t="str">
        <f>IF(Assessment_Sheet[[#This Row],[NAME ]]="","",ROUND((G819/60*40),0))</f>
        <v/>
      </c>
      <c r="I819" s="15" t="str">
        <f t="shared" si="13"/>
        <v/>
      </c>
      <c r="J819" s="16" t="str">
        <f>IF(B819="","",IF(OR(F819="",G819=""),"IC",VLOOKUP(I819,Scale[],2,1)))</f>
        <v/>
      </c>
    </row>
    <row r="820" spans="1:10" x14ac:dyDescent="0.35">
      <c r="A820" s="34"/>
      <c r="B820" s="35"/>
      <c r="C820" s="34"/>
      <c r="D820" s="34"/>
      <c r="E820" s="34"/>
      <c r="F820" s="46"/>
      <c r="G820" s="46"/>
      <c r="H820" s="14" t="str">
        <f>IF(Assessment_Sheet[[#This Row],[NAME ]]="","",ROUND((G820/60*40),0))</f>
        <v/>
      </c>
      <c r="I820" s="15" t="str">
        <f t="shared" si="13"/>
        <v/>
      </c>
      <c r="J820" s="16" t="str">
        <f>IF(B820="","",IF(OR(F820="",G820=""),"IC",VLOOKUP(I820,Scale[],2,1)))</f>
        <v/>
      </c>
    </row>
    <row r="821" spans="1:10" x14ac:dyDescent="0.35">
      <c r="A821" s="34"/>
      <c r="B821" s="35"/>
      <c r="C821" s="34"/>
      <c r="D821" s="34"/>
      <c r="E821" s="34"/>
      <c r="F821" s="46"/>
      <c r="G821" s="46"/>
      <c r="H821" s="14" t="str">
        <f>IF(Assessment_Sheet[[#This Row],[NAME ]]="","",ROUND((G821/60*40),0))</f>
        <v/>
      </c>
      <c r="I821" s="15" t="str">
        <f t="shared" si="13"/>
        <v/>
      </c>
      <c r="J821" s="16" t="str">
        <f>IF(B821="","",IF(OR(F821="",G821=""),"IC",VLOOKUP(I821,Scale[],2,1)))</f>
        <v/>
      </c>
    </row>
    <row r="822" spans="1:10" x14ac:dyDescent="0.35">
      <c r="A822" s="34"/>
      <c r="B822" s="35"/>
      <c r="C822" s="34"/>
      <c r="D822" s="34"/>
      <c r="E822" s="34"/>
      <c r="F822" s="46"/>
      <c r="G822" s="46"/>
      <c r="H822" s="14" t="str">
        <f>IF(Assessment_Sheet[[#This Row],[NAME ]]="","",ROUND((G822/60*40),0))</f>
        <v/>
      </c>
      <c r="I822" s="15" t="str">
        <f t="shared" si="13"/>
        <v/>
      </c>
      <c r="J822" s="16" t="str">
        <f>IF(B822="","",IF(OR(F822="",G822=""),"IC",VLOOKUP(I822,Scale[],2,1)))</f>
        <v/>
      </c>
    </row>
    <row r="823" spans="1:10" x14ac:dyDescent="0.35">
      <c r="A823" s="34"/>
      <c r="B823" s="35"/>
      <c r="C823" s="34"/>
      <c r="D823" s="34"/>
      <c r="E823" s="34"/>
      <c r="F823" s="46"/>
      <c r="G823" s="46"/>
      <c r="H823" s="14" t="str">
        <f>IF(Assessment_Sheet[[#This Row],[NAME ]]="","",ROUND((G823/60*40),0))</f>
        <v/>
      </c>
      <c r="I823" s="15" t="str">
        <f t="shared" si="13"/>
        <v/>
      </c>
      <c r="J823" s="16" t="str">
        <f>IF(B823="","",IF(OR(F823="",G823=""),"IC",VLOOKUP(I823,Scale[],2,1)))</f>
        <v/>
      </c>
    </row>
    <row r="824" spans="1:10" x14ac:dyDescent="0.35">
      <c r="A824" s="34"/>
      <c r="B824" s="35"/>
      <c r="C824" s="34"/>
      <c r="D824" s="34"/>
      <c r="E824" s="34"/>
      <c r="F824" s="46"/>
      <c r="G824" s="46"/>
      <c r="H824" s="14" t="str">
        <f>IF(Assessment_Sheet[[#This Row],[NAME ]]="","",ROUND((G824/60*40),0))</f>
        <v/>
      </c>
      <c r="I824" s="15" t="str">
        <f t="shared" si="13"/>
        <v/>
      </c>
      <c r="J824" s="16" t="str">
        <f>IF(B824="","",IF(OR(F824="",G824=""),"IC",VLOOKUP(I824,Scale[],2,1)))</f>
        <v/>
      </c>
    </row>
    <row r="825" spans="1:10" x14ac:dyDescent="0.35">
      <c r="A825" s="34"/>
      <c r="B825" s="35"/>
      <c r="C825" s="34"/>
      <c r="D825" s="34"/>
      <c r="E825" s="34"/>
      <c r="F825" s="46"/>
      <c r="G825" s="46"/>
      <c r="H825" s="14" t="str">
        <f>IF(Assessment_Sheet[[#This Row],[NAME ]]="","",ROUND((G825/60*40),0))</f>
        <v/>
      </c>
      <c r="I825" s="15" t="str">
        <f t="shared" si="13"/>
        <v/>
      </c>
      <c r="J825" s="16" t="str">
        <f>IF(B825="","",IF(OR(F825="",G825=""),"IC",VLOOKUP(I825,Scale[],2,1)))</f>
        <v/>
      </c>
    </row>
    <row r="826" spans="1:10" x14ac:dyDescent="0.35">
      <c r="A826" s="34"/>
      <c r="B826" s="35"/>
      <c r="C826" s="34"/>
      <c r="D826" s="34"/>
      <c r="E826" s="34"/>
      <c r="F826" s="46"/>
      <c r="G826" s="46"/>
      <c r="H826" s="14" t="str">
        <f>IF(Assessment_Sheet[[#This Row],[NAME ]]="","",ROUND((G826/60*40),0))</f>
        <v/>
      </c>
      <c r="I826" s="15" t="str">
        <f t="shared" si="13"/>
        <v/>
      </c>
      <c r="J826" s="16" t="str">
        <f>IF(B826="","",IF(OR(F826="",G826=""),"IC",VLOOKUP(I826,Scale[],2,1)))</f>
        <v/>
      </c>
    </row>
    <row r="827" spans="1:10" x14ac:dyDescent="0.35">
      <c r="A827" s="34"/>
      <c r="B827" s="35"/>
      <c r="C827" s="34"/>
      <c r="D827" s="34"/>
      <c r="E827" s="34"/>
      <c r="F827" s="46"/>
      <c r="G827" s="46"/>
      <c r="H827" s="14" t="str">
        <f>IF(Assessment_Sheet[[#This Row],[NAME ]]="","",ROUND((G827/60*40),0))</f>
        <v/>
      </c>
      <c r="I827" s="15" t="str">
        <f t="shared" si="13"/>
        <v/>
      </c>
      <c r="J827" s="16" t="str">
        <f>IF(B827="","",IF(OR(F827="",G827=""),"IC",VLOOKUP(I827,Scale[],2,1)))</f>
        <v/>
      </c>
    </row>
    <row r="828" spans="1:10" x14ac:dyDescent="0.35">
      <c r="A828" s="34"/>
      <c r="B828" s="35"/>
      <c r="C828" s="34"/>
      <c r="D828" s="34"/>
      <c r="E828" s="34"/>
      <c r="F828" s="46"/>
      <c r="G828" s="46"/>
      <c r="H828" s="14" t="str">
        <f>IF(Assessment_Sheet[[#This Row],[NAME ]]="","",ROUND((G828/60*40),0))</f>
        <v/>
      </c>
      <c r="I828" s="15" t="str">
        <f t="shared" si="13"/>
        <v/>
      </c>
      <c r="J828" s="16" t="str">
        <f>IF(B828="","",IF(OR(F828="",G828=""),"IC",VLOOKUP(I828,Scale[],2,1)))</f>
        <v/>
      </c>
    </row>
    <row r="829" spans="1:10" x14ac:dyDescent="0.35">
      <c r="A829" s="34"/>
      <c r="B829" s="35"/>
      <c r="C829" s="34"/>
      <c r="D829" s="34"/>
      <c r="E829" s="34"/>
      <c r="F829" s="46"/>
      <c r="G829" s="46"/>
      <c r="H829" s="14" t="str">
        <f>IF(Assessment_Sheet[[#This Row],[NAME ]]="","",ROUND((G829/60*40),0))</f>
        <v/>
      </c>
      <c r="I829" s="15" t="str">
        <f t="shared" si="13"/>
        <v/>
      </c>
      <c r="J829" s="16" t="str">
        <f>IF(B829="","",IF(OR(F829="",G829=""),"IC",VLOOKUP(I829,Scale[],2,1)))</f>
        <v/>
      </c>
    </row>
    <row r="830" spans="1:10" x14ac:dyDescent="0.35">
      <c r="A830" s="34"/>
      <c r="B830" s="35"/>
      <c r="C830" s="34"/>
      <c r="D830" s="34"/>
      <c r="E830" s="34"/>
      <c r="F830" s="46"/>
      <c r="G830" s="46"/>
      <c r="H830" s="14" t="str">
        <f>IF(Assessment_Sheet[[#This Row],[NAME ]]="","",ROUND((G830/60*40),0))</f>
        <v/>
      </c>
      <c r="I830" s="15" t="str">
        <f t="shared" si="13"/>
        <v/>
      </c>
      <c r="J830" s="16" t="str">
        <f>IF(B830="","",IF(OR(F830="",G830=""),"IC",VLOOKUP(I830,Scale[],2,1)))</f>
        <v/>
      </c>
    </row>
    <row r="831" spans="1:10" x14ac:dyDescent="0.35">
      <c r="A831" s="34"/>
      <c r="B831" s="35"/>
      <c r="C831" s="34"/>
      <c r="D831" s="34"/>
      <c r="E831" s="34"/>
      <c r="F831" s="46"/>
      <c r="G831" s="46"/>
      <c r="H831" s="14" t="str">
        <f>IF(Assessment_Sheet[[#This Row],[NAME ]]="","",ROUND((G831/60*40),0))</f>
        <v/>
      </c>
      <c r="I831" s="15" t="str">
        <f t="shared" si="13"/>
        <v/>
      </c>
      <c r="J831" s="16" t="str">
        <f>IF(B831="","",IF(OR(F831="",G831=""),"IC",VLOOKUP(I831,Scale[],2,1)))</f>
        <v/>
      </c>
    </row>
    <row r="832" spans="1:10" x14ac:dyDescent="0.35">
      <c r="A832" s="34"/>
      <c r="B832" s="35"/>
      <c r="C832" s="34"/>
      <c r="D832" s="34"/>
      <c r="E832" s="34"/>
      <c r="F832" s="46"/>
      <c r="G832" s="46"/>
      <c r="H832" s="14" t="str">
        <f>IF(Assessment_Sheet[[#This Row],[NAME ]]="","",ROUND((G832/60*40),0))</f>
        <v/>
      </c>
      <c r="I832" s="15" t="str">
        <f t="shared" si="13"/>
        <v/>
      </c>
      <c r="J832" s="16" t="str">
        <f>IF(B832="","",IF(OR(F832="",G832=""),"IC",VLOOKUP(I832,Scale[],2,1)))</f>
        <v/>
      </c>
    </row>
    <row r="833" spans="1:10" x14ac:dyDescent="0.35">
      <c r="A833" s="34"/>
      <c r="B833" s="35"/>
      <c r="C833" s="34"/>
      <c r="D833" s="34"/>
      <c r="E833" s="34"/>
      <c r="F833" s="46"/>
      <c r="G833" s="46"/>
      <c r="H833" s="14" t="str">
        <f>IF(Assessment_Sheet[[#This Row],[NAME ]]="","",ROUND((G833/60*40),0))</f>
        <v/>
      </c>
      <c r="I833" s="15" t="str">
        <f t="shared" si="13"/>
        <v/>
      </c>
      <c r="J833" s="16" t="str">
        <f>IF(B833="","",IF(OR(F833="",G833=""),"IC",VLOOKUP(I833,Scale[],2,1)))</f>
        <v/>
      </c>
    </row>
    <row r="834" spans="1:10" x14ac:dyDescent="0.35">
      <c r="A834" s="34"/>
      <c r="B834" s="35"/>
      <c r="C834" s="34"/>
      <c r="D834" s="34"/>
      <c r="E834" s="34"/>
      <c r="F834" s="46"/>
      <c r="G834" s="46"/>
      <c r="H834" s="14" t="str">
        <f>IF(Assessment_Sheet[[#This Row],[NAME ]]="","",ROUND((G834/60*40),0))</f>
        <v/>
      </c>
      <c r="I834" s="15" t="str">
        <f t="shared" si="13"/>
        <v/>
      </c>
      <c r="J834" s="16" t="str">
        <f>IF(B834="","",IF(OR(F834="",G834=""),"IC",VLOOKUP(I834,Scale[],2,1)))</f>
        <v/>
      </c>
    </row>
    <row r="835" spans="1:10" x14ac:dyDescent="0.35">
      <c r="A835" s="34"/>
      <c r="B835" s="35"/>
      <c r="C835" s="34"/>
      <c r="D835" s="34"/>
      <c r="E835" s="34"/>
      <c r="F835" s="46"/>
      <c r="G835" s="46"/>
      <c r="H835" s="14" t="str">
        <f>IF(Assessment_Sheet[[#This Row],[NAME ]]="","",ROUND((G835/60*40),0))</f>
        <v/>
      </c>
      <c r="I835" s="15" t="str">
        <f t="shared" si="13"/>
        <v/>
      </c>
      <c r="J835" s="16" t="str">
        <f>IF(B835="","",IF(OR(F835="",G835=""),"IC",VLOOKUP(I835,Scale[],2,1)))</f>
        <v/>
      </c>
    </row>
    <row r="836" spans="1:10" x14ac:dyDescent="0.35">
      <c r="A836" s="34"/>
      <c r="B836" s="35"/>
      <c r="C836" s="34"/>
      <c r="D836" s="34"/>
      <c r="E836" s="34"/>
      <c r="F836" s="46"/>
      <c r="G836" s="46"/>
      <c r="H836" s="14" t="str">
        <f>IF(Assessment_Sheet[[#This Row],[NAME ]]="","",ROUND((G836/60*40),0))</f>
        <v/>
      </c>
      <c r="I836" s="15" t="str">
        <f t="shared" si="13"/>
        <v/>
      </c>
      <c r="J836" s="16" t="str">
        <f>IF(B836="","",IF(OR(F836="",G836=""),"IC",VLOOKUP(I836,Scale[],2,1)))</f>
        <v/>
      </c>
    </row>
    <row r="837" spans="1:10" x14ac:dyDescent="0.35">
      <c r="A837" s="34"/>
      <c r="B837" s="35"/>
      <c r="C837" s="34"/>
      <c r="D837" s="34"/>
      <c r="E837" s="34"/>
      <c r="F837" s="46"/>
      <c r="G837" s="46"/>
      <c r="H837" s="14" t="str">
        <f>IF(Assessment_Sheet[[#This Row],[NAME ]]="","",ROUND((G837/60*40),0))</f>
        <v/>
      </c>
      <c r="I837" s="15" t="str">
        <f t="shared" si="13"/>
        <v/>
      </c>
      <c r="J837" s="16" t="str">
        <f>IF(B837="","",IF(OR(F837="",G837=""),"IC",VLOOKUP(I837,Scale[],2,1)))</f>
        <v/>
      </c>
    </row>
    <row r="838" spans="1:10" x14ac:dyDescent="0.35">
      <c r="A838" s="34"/>
      <c r="B838" s="35"/>
      <c r="C838" s="34"/>
      <c r="D838" s="34"/>
      <c r="E838" s="34"/>
      <c r="F838" s="46"/>
      <c r="G838" s="46"/>
      <c r="H838" s="14" t="str">
        <f>IF(Assessment_Sheet[[#This Row],[NAME ]]="","",ROUND((G838/60*40),0))</f>
        <v/>
      </c>
      <c r="I838" s="15" t="str">
        <f t="shared" si="13"/>
        <v/>
      </c>
      <c r="J838" s="16" t="str">
        <f>IF(B838="","",IF(OR(F838="",G838=""),"IC",VLOOKUP(I838,Scale[],2,1)))</f>
        <v/>
      </c>
    </row>
    <row r="839" spans="1:10" x14ac:dyDescent="0.35">
      <c r="A839" s="34"/>
      <c r="B839" s="35"/>
      <c r="C839" s="34"/>
      <c r="D839" s="34"/>
      <c r="E839" s="34"/>
      <c r="F839" s="46"/>
      <c r="G839" s="46"/>
      <c r="H839" s="14" t="str">
        <f>IF(Assessment_Sheet[[#This Row],[NAME ]]="","",ROUND((G839/60*40),0))</f>
        <v/>
      </c>
      <c r="I839" s="15" t="str">
        <f t="shared" si="13"/>
        <v/>
      </c>
      <c r="J839" s="16" t="str">
        <f>IF(B839="","",IF(OR(F839="",G839=""),"IC",VLOOKUP(I839,Scale[],2,1)))</f>
        <v/>
      </c>
    </row>
    <row r="840" spans="1:10" x14ac:dyDescent="0.35">
      <c r="A840" s="34"/>
      <c r="B840" s="35"/>
      <c r="C840" s="34"/>
      <c r="D840" s="34"/>
      <c r="E840" s="34"/>
      <c r="F840" s="46"/>
      <c r="G840" s="46"/>
      <c r="H840" s="14" t="str">
        <f>IF(Assessment_Sheet[[#This Row],[NAME ]]="","",ROUND((G840/60*40),0))</f>
        <v/>
      </c>
      <c r="I840" s="15" t="str">
        <f t="shared" ref="I840:I903" si="14">IFERROR(ROUND((F840+H840),0),"")</f>
        <v/>
      </c>
      <c r="J840" s="16" t="str">
        <f>IF(B840="","",IF(OR(F840="",G840=""),"IC",VLOOKUP(I840,Scale[],2,1)))</f>
        <v/>
      </c>
    </row>
    <row r="841" spans="1:10" x14ac:dyDescent="0.35">
      <c r="A841" s="34"/>
      <c r="B841" s="35"/>
      <c r="C841" s="34"/>
      <c r="D841" s="34"/>
      <c r="E841" s="34"/>
      <c r="F841" s="46"/>
      <c r="G841" s="46"/>
      <c r="H841" s="14" t="str">
        <f>IF(Assessment_Sheet[[#This Row],[NAME ]]="","",ROUND((G841/60*40),0))</f>
        <v/>
      </c>
      <c r="I841" s="15" t="str">
        <f t="shared" si="14"/>
        <v/>
      </c>
      <c r="J841" s="16" t="str">
        <f>IF(B841="","",IF(OR(F841="",G841=""),"IC",VLOOKUP(I841,Scale[],2,1)))</f>
        <v/>
      </c>
    </row>
    <row r="842" spans="1:10" x14ac:dyDescent="0.35">
      <c r="A842" s="34"/>
      <c r="B842" s="35"/>
      <c r="C842" s="34"/>
      <c r="D842" s="34"/>
      <c r="E842" s="34"/>
      <c r="F842" s="46"/>
      <c r="G842" s="46"/>
      <c r="H842" s="14" t="str">
        <f>IF(Assessment_Sheet[[#This Row],[NAME ]]="","",ROUND((G842/60*40),0))</f>
        <v/>
      </c>
      <c r="I842" s="15" t="str">
        <f t="shared" si="14"/>
        <v/>
      </c>
      <c r="J842" s="16" t="str">
        <f>IF(B842="","",IF(OR(F842="",G842=""),"IC",VLOOKUP(I842,Scale[],2,1)))</f>
        <v/>
      </c>
    </row>
    <row r="843" spans="1:10" x14ac:dyDescent="0.35">
      <c r="A843" s="34"/>
      <c r="B843" s="35"/>
      <c r="C843" s="34"/>
      <c r="D843" s="34"/>
      <c r="E843" s="34"/>
      <c r="F843" s="46"/>
      <c r="G843" s="46"/>
      <c r="H843" s="14" t="str">
        <f>IF(Assessment_Sheet[[#This Row],[NAME ]]="","",ROUND((G843/60*40),0))</f>
        <v/>
      </c>
      <c r="I843" s="15" t="str">
        <f t="shared" si="14"/>
        <v/>
      </c>
      <c r="J843" s="16" t="str">
        <f>IF(B843="","",IF(OR(F843="",G843=""),"IC",VLOOKUP(I843,Scale[],2,1)))</f>
        <v/>
      </c>
    </row>
    <row r="844" spans="1:10" x14ac:dyDescent="0.35">
      <c r="A844" s="34"/>
      <c r="B844" s="35"/>
      <c r="C844" s="34"/>
      <c r="D844" s="34"/>
      <c r="E844" s="34"/>
      <c r="F844" s="46"/>
      <c r="G844" s="46"/>
      <c r="H844" s="14" t="str">
        <f>IF(Assessment_Sheet[[#This Row],[NAME ]]="","",ROUND((G844/60*40),0))</f>
        <v/>
      </c>
      <c r="I844" s="15" t="str">
        <f t="shared" si="14"/>
        <v/>
      </c>
      <c r="J844" s="16" t="str">
        <f>IF(B844="","",IF(OR(F844="",G844=""),"IC",VLOOKUP(I844,Scale[],2,1)))</f>
        <v/>
      </c>
    </row>
    <row r="845" spans="1:10" x14ac:dyDescent="0.35">
      <c r="A845" s="34"/>
      <c r="B845" s="35"/>
      <c r="C845" s="34"/>
      <c r="D845" s="34"/>
      <c r="E845" s="34"/>
      <c r="F845" s="46"/>
      <c r="G845" s="46"/>
      <c r="H845" s="14" t="str">
        <f>IF(Assessment_Sheet[[#This Row],[NAME ]]="","",ROUND((G845/60*40),0))</f>
        <v/>
      </c>
      <c r="I845" s="15" t="str">
        <f t="shared" si="14"/>
        <v/>
      </c>
      <c r="J845" s="16" t="str">
        <f>IF(B845="","",IF(OR(F845="",G845=""),"IC",VLOOKUP(I845,Scale[],2,1)))</f>
        <v/>
      </c>
    </row>
    <row r="846" spans="1:10" x14ac:dyDescent="0.35">
      <c r="A846" s="34"/>
      <c r="B846" s="35"/>
      <c r="C846" s="34"/>
      <c r="D846" s="34"/>
      <c r="E846" s="34"/>
      <c r="F846" s="46"/>
      <c r="G846" s="46"/>
      <c r="H846" s="14" t="str">
        <f>IF(Assessment_Sheet[[#This Row],[NAME ]]="","",ROUND((G846/60*40),0))</f>
        <v/>
      </c>
      <c r="I846" s="15" t="str">
        <f t="shared" si="14"/>
        <v/>
      </c>
      <c r="J846" s="16" t="str">
        <f>IF(B846="","",IF(OR(F846="",G846=""),"IC",VLOOKUP(I846,Scale[],2,1)))</f>
        <v/>
      </c>
    </row>
    <row r="847" spans="1:10" x14ac:dyDescent="0.35">
      <c r="A847" s="34"/>
      <c r="B847" s="35"/>
      <c r="C847" s="34"/>
      <c r="D847" s="34"/>
      <c r="E847" s="34"/>
      <c r="F847" s="46"/>
      <c r="G847" s="46"/>
      <c r="H847" s="14" t="str">
        <f>IF(Assessment_Sheet[[#This Row],[NAME ]]="","",ROUND((G847/60*40),0))</f>
        <v/>
      </c>
      <c r="I847" s="15" t="str">
        <f t="shared" si="14"/>
        <v/>
      </c>
      <c r="J847" s="16" t="str">
        <f>IF(B847="","",IF(OR(F847="",G847=""),"IC",VLOOKUP(I847,Scale[],2,1)))</f>
        <v/>
      </c>
    </row>
    <row r="848" spans="1:10" x14ac:dyDescent="0.35">
      <c r="A848" s="34"/>
      <c r="B848" s="35"/>
      <c r="C848" s="34"/>
      <c r="D848" s="34"/>
      <c r="E848" s="34"/>
      <c r="F848" s="46"/>
      <c r="G848" s="46"/>
      <c r="H848" s="14" t="str">
        <f>IF(Assessment_Sheet[[#This Row],[NAME ]]="","",ROUND((G848/60*40),0))</f>
        <v/>
      </c>
      <c r="I848" s="15" t="str">
        <f t="shared" si="14"/>
        <v/>
      </c>
      <c r="J848" s="16" t="str">
        <f>IF(B848="","",IF(OR(F848="",G848=""),"IC",VLOOKUP(I848,Scale[],2,1)))</f>
        <v/>
      </c>
    </row>
    <row r="849" spans="1:10" x14ac:dyDescent="0.35">
      <c r="A849" s="34"/>
      <c r="B849" s="35"/>
      <c r="C849" s="34"/>
      <c r="D849" s="34"/>
      <c r="E849" s="34"/>
      <c r="F849" s="46"/>
      <c r="G849" s="46"/>
      <c r="H849" s="14" t="str">
        <f>IF(Assessment_Sheet[[#This Row],[NAME ]]="","",ROUND((G849/60*40),0))</f>
        <v/>
      </c>
      <c r="I849" s="15" t="str">
        <f t="shared" si="14"/>
        <v/>
      </c>
      <c r="J849" s="16" t="str">
        <f>IF(B849="","",IF(OR(F849="",G849=""),"IC",VLOOKUP(I849,Scale[],2,1)))</f>
        <v/>
      </c>
    </row>
    <row r="850" spans="1:10" x14ac:dyDescent="0.35">
      <c r="A850" s="34"/>
      <c r="B850" s="35"/>
      <c r="C850" s="34"/>
      <c r="D850" s="34"/>
      <c r="E850" s="34"/>
      <c r="F850" s="46"/>
      <c r="G850" s="46"/>
      <c r="H850" s="14" t="str">
        <f>IF(Assessment_Sheet[[#This Row],[NAME ]]="","",ROUND((G850/60*40),0))</f>
        <v/>
      </c>
      <c r="I850" s="15" t="str">
        <f t="shared" si="14"/>
        <v/>
      </c>
      <c r="J850" s="16" t="str">
        <f>IF(B850="","",IF(OR(F850="",G850=""),"IC",VLOOKUP(I850,Scale[],2,1)))</f>
        <v/>
      </c>
    </row>
    <row r="851" spans="1:10" x14ac:dyDescent="0.35">
      <c r="A851" s="34"/>
      <c r="B851" s="35"/>
      <c r="C851" s="34"/>
      <c r="D851" s="34"/>
      <c r="E851" s="34"/>
      <c r="F851" s="46"/>
      <c r="G851" s="46"/>
      <c r="H851" s="14" t="str">
        <f>IF(Assessment_Sheet[[#This Row],[NAME ]]="","",ROUND((G851/60*40),0))</f>
        <v/>
      </c>
      <c r="I851" s="15" t="str">
        <f t="shared" si="14"/>
        <v/>
      </c>
      <c r="J851" s="16" t="str">
        <f>IF(B851="","",IF(OR(F851="",G851=""),"IC",VLOOKUP(I851,Scale[],2,1)))</f>
        <v/>
      </c>
    </row>
    <row r="852" spans="1:10" x14ac:dyDescent="0.35">
      <c r="A852" s="34"/>
      <c r="B852" s="35"/>
      <c r="C852" s="34"/>
      <c r="D852" s="34"/>
      <c r="E852" s="34"/>
      <c r="F852" s="46"/>
      <c r="G852" s="46"/>
      <c r="H852" s="14" t="str">
        <f>IF(Assessment_Sheet[[#This Row],[NAME ]]="","",ROUND((G852/60*40),0))</f>
        <v/>
      </c>
      <c r="I852" s="15" t="str">
        <f t="shared" si="14"/>
        <v/>
      </c>
      <c r="J852" s="16" t="str">
        <f>IF(B852="","",IF(OR(F852="",G852=""),"IC",VLOOKUP(I852,Scale[],2,1)))</f>
        <v/>
      </c>
    </row>
    <row r="853" spans="1:10" x14ac:dyDescent="0.35">
      <c r="A853" s="34"/>
      <c r="B853" s="35"/>
      <c r="C853" s="34"/>
      <c r="D853" s="34"/>
      <c r="E853" s="34"/>
      <c r="F853" s="46"/>
      <c r="G853" s="46"/>
      <c r="H853" s="14" t="str">
        <f>IF(Assessment_Sheet[[#This Row],[NAME ]]="","",ROUND((G853/60*40),0))</f>
        <v/>
      </c>
      <c r="I853" s="15" t="str">
        <f t="shared" si="14"/>
        <v/>
      </c>
      <c r="J853" s="16" t="str">
        <f>IF(B853="","",IF(OR(F853="",G853=""),"IC",VLOOKUP(I853,Scale[],2,1)))</f>
        <v/>
      </c>
    </row>
    <row r="854" spans="1:10" x14ac:dyDescent="0.35">
      <c r="A854" s="34"/>
      <c r="B854" s="35"/>
      <c r="C854" s="34"/>
      <c r="D854" s="34"/>
      <c r="E854" s="34"/>
      <c r="F854" s="46"/>
      <c r="G854" s="46"/>
      <c r="H854" s="14" t="str">
        <f>IF(Assessment_Sheet[[#This Row],[NAME ]]="","",ROUND((G854/60*40),0))</f>
        <v/>
      </c>
      <c r="I854" s="15" t="str">
        <f t="shared" si="14"/>
        <v/>
      </c>
      <c r="J854" s="16" t="str">
        <f>IF(B854="","",IF(OR(F854="",G854=""),"IC",VLOOKUP(I854,Scale[],2,1)))</f>
        <v/>
      </c>
    </row>
    <row r="855" spans="1:10" x14ac:dyDescent="0.35">
      <c r="A855" s="34"/>
      <c r="B855" s="35"/>
      <c r="C855" s="34"/>
      <c r="D855" s="34"/>
      <c r="E855" s="34"/>
      <c r="F855" s="46"/>
      <c r="G855" s="46"/>
      <c r="H855" s="14" t="str">
        <f>IF(Assessment_Sheet[[#This Row],[NAME ]]="","",ROUND((G855/60*40),0))</f>
        <v/>
      </c>
      <c r="I855" s="15" t="str">
        <f t="shared" si="14"/>
        <v/>
      </c>
      <c r="J855" s="16" t="str">
        <f>IF(B855="","",IF(OR(F855="",G855=""),"IC",VLOOKUP(I855,Scale[],2,1)))</f>
        <v/>
      </c>
    </row>
    <row r="856" spans="1:10" x14ac:dyDescent="0.35">
      <c r="A856" s="34"/>
      <c r="B856" s="35"/>
      <c r="C856" s="34"/>
      <c r="D856" s="34"/>
      <c r="E856" s="34"/>
      <c r="F856" s="46"/>
      <c r="G856" s="46"/>
      <c r="H856" s="14" t="str">
        <f>IF(Assessment_Sheet[[#This Row],[NAME ]]="","",ROUND((G856/60*40),0))</f>
        <v/>
      </c>
      <c r="I856" s="15" t="str">
        <f t="shared" si="14"/>
        <v/>
      </c>
      <c r="J856" s="16" t="str">
        <f>IF(B856="","",IF(OR(F856="",G856=""),"IC",VLOOKUP(I856,Scale[],2,1)))</f>
        <v/>
      </c>
    </row>
    <row r="857" spans="1:10" x14ac:dyDescent="0.35">
      <c r="A857" s="34"/>
      <c r="B857" s="35"/>
      <c r="C857" s="34"/>
      <c r="D857" s="34"/>
      <c r="E857" s="34"/>
      <c r="F857" s="46"/>
      <c r="G857" s="46"/>
      <c r="H857" s="14" t="str">
        <f>IF(Assessment_Sheet[[#This Row],[NAME ]]="","",ROUND((G857/60*40),0))</f>
        <v/>
      </c>
      <c r="I857" s="15" t="str">
        <f t="shared" si="14"/>
        <v/>
      </c>
      <c r="J857" s="16" t="str">
        <f>IF(B857="","",IF(OR(F857="",G857=""),"IC",VLOOKUP(I857,Scale[],2,1)))</f>
        <v/>
      </c>
    </row>
    <row r="858" spans="1:10" x14ac:dyDescent="0.35">
      <c r="A858" s="34"/>
      <c r="B858" s="35"/>
      <c r="C858" s="34"/>
      <c r="D858" s="34"/>
      <c r="E858" s="34"/>
      <c r="F858" s="46"/>
      <c r="G858" s="46"/>
      <c r="H858" s="14" t="str">
        <f>IF(Assessment_Sheet[[#This Row],[NAME ]]="","",ROUND((G858/60*40),0))</f>
        <v/>
      </c>
      <c r="I858" s="15" t="str">
        <f t="shared" si="14"/>
        <v/>
      </c>
      <c r="J858" s="16" t="str">
        <f>IF(B858="","",IF(OR(F858="",G858=""),"IC",VLOOKUP(I858,Scale[],2,1)))</f>
        <v/>
      </c>
    </row>
    <row r="859" spans="1:10" x14ac:dyDescent="0.35">
      <c r="A859" s="34"/>
      <c r="B859" s="35"/>
      <c r="C859" s="34"/>
      <c r="D859" s="34"/>
      <c r="E859" s="34"/>
      <c r="F859" s="46"/>
      <c r="G859" s="46"/>
      <c r="H859" s="14" t="str">
        <f>IF(Assessment_Sheet[[#This Row],[NAME ]]="","",ROUND((G859/60*40),0))</f>
        <v/>
      </c>
      <c r="I859" s="15" t="str">
        <f t="shared" si="14"/>
        <v/>
      </c>
      <c r="J859" s="16" t="str">
        <f>IF(B859="","",IF(OR(F859="",G859=""),"IC",VLOOKUP(I859,Scale[],2,1)))</f>
        <v/>
      </c>
    </row>
    <row r="860" spans="1:10" x14ac:dyDescent="0.35">
      <c r="A860" s="34"/>
      <c r="B860" s="35"/>
      <c r="C860" s="34"/>
      <c r="D860" s="34"/>
      <c r="E860" s="34"/>
      <c r="F860" s="46"/>
      <c r="G860" s="46"/>
      <c r="H860" s="14" t="str">
        <f>IF(Assessment_Sheet[[#This Row],[NAME ]]="","",ROUND((G860/60*40),0))</f>
        <v/>
      </c>
      <c r="I860" s="15" t="str">
        <f t="shared" si="14"/>
        <v/>
      </c>
      <c r="J860" s="16" t="str">
        <f>IF(B860="","",IF(OR(F860="",G860=""),"IC",VLOOKUP(I860,Scale[],2,1)))</f>
        <v/>
      </c>
    </row>
    <row r="861" spans="1:10" x14ac:dyDescent="0.35">
      <c r="A861" s="34"/>
      <c r="B861" s="35"/>
      <c r="C861" s="34"/>
      <c r="D861" s="34"/>
      <c r="E861" s="34"/>
      <c r="F861" s="46"/>
      <c r="G861" s="46"/>
      <c r="H861" s="14" t="str">
        <f>IF(Assessment_Sheet[[#This Row],[NAME ]]="","",ROUND((G861/60*40),0))</f>
        <v/>
      </c>
      <c r="I861" s="15" t="str">
        <f t="shared" si="14"/>
        <v/>
      </c>
      <c r="J861" s="16" t="str">
        <f>IF(B861="","",IF(OR(F861="",G861=""),"IC",VLOOKUP(I861,Scale[],2,1)))</f>
        <v/>
      </c>
    </row>
    <row r="862" spans="1:10" x14ac:dyDescent="0.35">
      <c r="A862" s="34"/>
      <c r="B862" s="35"/>
      <c r="C862" s="34"/>
      <c r="D862" s="34"/>
      <c r="E862" s="34"/>
      <c r="F862" s="46"/>
      <c r="G862" s="46"/>
      <c r="H862" s="14" t="str">
        <f>IF(Assessment_Sheet[[#This Row],[NAME ]]="","",ROUND((G862/60*40),0))</f>
        <v/>
      </c>
      <c r="I862" s="15" t="str">
        <f t="shared" si="14"/>
        <v/>
      </c>
      <c r="J862" s="16" t="str">
        <f>IF(B862="","",IF(OR(F862="",G862=""),"IC",VLOOKUP(I862,Scale[],2,1)))</f>
        <v/>
      </c>
    </row>
    <row r="863" spans="1:10" x14ac:dyDescent="0.35">
      <c r="A863" s="34"/>
      <c r="B863" s="35"/>
      <c r="C863" s="34"/>
      <c r="D863" s="34"/>
      <c r="E863" s="34"/>
      <c r="F863" s="46"/>
      <c r="G863" s="46"/>
      <c r="H863" s="14" t="str">
        <f>IF(Assessment_Sheet[[#This Row],[NAME ]]="","",ROUND((G863/60*40),0))</f>
        <v/>
      </c>
      <c r="I863" s="15" t="str">
        <f t="shared" si="14"/>
        <v/>
      </c>
      <c r="J863" s="16" t="str">
        <f>IF(B863="","",IF(OR(F863="",G863=""),"IC",VLOOKUP(I863,Scale[],2,1)))</f>
        <v/>
      </c>
    </row>
    <row r="864" spans="1:10" x14ac:dyDescent="0.35">
      <c r="A864" s="34"/>
      <c r="B864" s="35"/>
      <c r="C864" s="34"/>
      <c r="D864" s="34"/>
      <c r="E864" s="34"/>
      <c r="F864" s="46"/>
      <c r="G864" s="46"/>
      <c r="H864" s="14" t="str">
        <f>IF(Assessment_Sheet[[#This Row],[NAME ]]="","",ROUND((G864/60*40),0))</f>
        <v/>
      </c>
      <c r="I864" s="15" t="str">
        <f t="shared" si="14"/>
        <v/>
      </c>
      <c r="J864" s="16" t="str">
        <f>IF(B864="","",IF(OR(F864="",G864=""),"IC",VLOOKUP(I864,Scale[],2,1)))</f>
        <v/>
      </c>
    </row>
    <row r="865" spans="1:10" x14ac:dyDescent="0.35">
      <c r="A865" s="34"/>
      <c r="B865" s="35"/>
      <c r="C865" s="34"/>
      <c r="D865" s="34"/>
      <c r="E865" s="34"/>
      <c r="F865" s="46"/>
      <c r="G865" s="46"/>
      <c r="H865" s="14" t="str">
        <f>IF(Assessment_Sheet[[#This Row],[NAME ]]="","",ROUND((G865/60*40),0))</f>
        <v/>
      </c>
      <c r="I865" s="15" t="str">
        <f t="shared" si="14"/>
        <v/>
      </c>
      <c r="J865" s="16" t="str">
        <f>IF(B865="","",IF(OR(F865="",G865=""),"IC",VLOOKUP(I865,Scale[],2,1)))</f>
        <v/>
      </c>
    </row>
    <row r="866" spans="1:10" x14ac:dyDescent="0.35">
      <c r="A866" s="34"/>
      <c r="B866" s="35"/>
      <c r="C866" s="34"/>
      <c r="D866" s="34"/>
      <c r="E866" s="34"/>
      <c r="F866" s="46"/>
      <c r="G866" s="46"/>
      <c r="H866" s="14" t="str">
        <f>IF(Assessment_Sheet[[#This Row],[NAME ]]="","",ROUND((G866/60*40),0))</f>
        <v/>
      </c>
      <c r="I866" s="15" t="str">
        <f t="shared" si="14"/>
        <v/>
      </c>
      <c r="J866" s="16" t="str">
        <f>IF(B866="","",IF(OR(F866="",G866=""),"IC",VLOOKUP(I866,Scale[],2,1)))</f>
        <v/>
      </c>
    </row>
    <row r="867" spans="1:10" x14ac:dyDescent="0.35">
      <c r="A867" s="34"/>
      <c r="B867" s="35"/>
      <c r="C867" s="34"/>
      <c r="D867" s="34"/>
      <c r="E867" s="34"/>
      <c r="F867" s="46"/>
      <c r="G867" s="46"/>
      <c r="H867" s="14" t="str">
        <f>IF(Assessment_Sheet[[#This Row],[NAME ]]="","",ROUND((G867/60*40),0))</f>
        <v/>
      </c>
      <c r="I867" s="15" t="str">
        <f t="shared" si="14"/>
        <v/>
      </c>
      <c r="J867" s="16" t="str">
        <f>IF(B867="","",IF(OR(F867="",G867=""),"IC",VLOOKUP(I867,Scale[],2,1)))</f>
        <v/>
      </c>
    </row>
    <row r="868" spans="1:10" x14ac:dyDescent="0.35">
      <c r="A868" s="34"/>
      <c r="B868" s="35"/>
      <c r="C868" s="34"/>
      <c r="D868" s="34"/>
      <c r="E868" s="34"/>
      <c r="F868" s="46"/>
      <c r="G868" s="46"/>
      <c r="H868" s="14" t="str">
        <f>IF(Assessment_Sheet[[#This Row],[NAME ]]="","",ROUND((G868/60*40),0))</f>
        <v/>
      </c>
      <c r="I868" s="15" t="str">
        <f t="shared" si="14"/>
        <v/>
      </c>
      <c r="J868" s="16" t="str">
        <f>IF(B868="","",IF(OR(F868="",G868=""),"IC",VLOOKUP(I868,Scale[],2,1)))</f>
        <v/>
      </c>
    </row>
    <row r="869" spans="1:10" x14ac:dyDescent="0.35">
      <c r="A869" s="34"/>
      <c r="B869" s="35"/>
      <c r="C869" s="34"/>
      <c r="D869" s="34"/>
      <c r="E869" s="34"/>
      <c r="F869" s="46"/>
      <c r="G869" s="46"/>
      <c r="H869" s="14" t="str">
        <f>IF(Assessment_Sheet[[#This Row],[NAME ]]="","",ROUND((G869/60*40),0))</f>
        <v/>
      </c>
      <c r="I869" s="15" t="str">
        <f t="shared" si="14"/>
        <v/>
      </c>
      <c r="J869" s="16" t="str">
        <f>IF(B869="","",IF(OR(F869="",G869=""),"IC",VLOOKUP(I869,Scale[],2,1)))</f>
        <v/>
      </c>
    </row>
    <row r="870" spans="1:10" x14ac:dyDescent="0.35">
      <c r="A870" s="34"/>
      <c r="B870" s="35"/>
      <c r="C870" s="34"/>
      <c r="D870" s="34"/>
      <c r="E870" s="34"/>
      <c r="F870" s="46"/>
      <c r="G870" s="46"/>
      <c r="H870" s="14" t="str">
        <f>IF(Assessment_Sheet[[#This Row],[NAME ]]="","",ROUND((G870/60*40),0))</f>
        <v/>
      </c>
      <c r="I870" s="15" t="str">
        <f t="shared" si="14"/>
        <v/>
      </c>
      <c r="J870" s="16" t="str">
        <f>IF(B870="","",IF(OR(F870="",G870=""),"IC",VLOOKUP(I870,Scale[],2,1)))</f>
        <v/>
      </c>
    </row>
    <row r="871" spans="1:10" x14ac:dyDescent="0.35">
      <c r="A871" s="34"/>
      <c r="B871" s="35"/>
      <c r="C871" s="34"/>
      <c r="D871" s="34"/>
      <c r="E871" s="34"/>
      <c r="F871" s="46"/>
      <c r="G871" s="46"/>
      <c r="H871" s="14" t="str">
        <f>IF(Assessment_Sheet[[#This Row],[NAME ]]="","",ROUND((G871/60*40),0))</f>
        <v/>
      </c>
      <c r="I871" s="15" t="str">
        <f t="shared" si="14"/>
        <v/>
      </c>
      <c r="J871" s="16" t="str">
        <f>IF(B871="","",IF(OR(F871="",G871=""),"IC",VLOOKUP(I871,Scale[],2,1)))</f>
        <v/>
      </c>
    </row>
    <row r="872" spans="1:10" x14ac:dyDescent="0.35">
      <c r="A872" s="34"/>
      <c r="B872" s="35"/>
      <c r="C872" s="34"/>
      <c r="D872" s="34"/>
      <c r="E872" s="34"/>
      <c r="F872" s="46"/>
      <c r="G872" s="46"/>
      <c r="H872" s="14" t="str">
        <f>IF(Assessment_Sheet[[#This Row],[NAME ]]="","",ROUND((G872/60*40),0))</f>
        <v/>
      </c>
      <c r="I872" s="15" t="str">
        <f t="shared" si="14"/>
        <v/>
      </c>
      <c r="J872" s="16" t="str">
        <f>IF(B872="","",IF(OR(F872="",G872=""),"IC",VLOOKUP(I872,Scale[],2,1)))</f>
        <v/>
      </c>
    </row>
    <row r="873" spans="1:10" x14ac:dyDescent="0.35">
      <c r="A873" s="34"/>
      <c r="B873" s="35"/>
      <c r="C873" s="34"/>
      <c r="D873" s="34"/>
      <c r="E873" s="34"/>
      <c r="F873" s="46"/>
      <c r="G873" s="46"/>
      <c r="H873" s="14" t="str">
        <f>IF(Assessment_Sheet[[#This Row],[NAME ]]="","",ROUND((G873/60*40),0))</f>
        <v/>
      </c>
      <c r="I873" s="15" t="str">
        <f t="shared" si="14"/>
        <v/>
      </c>
      <c r="J873" s="16" t="str">
        <f>IF(B873="","",IF(OR(F873="",G873=""),"IC",VLOOKUP(I873,Scale[],2,1)))</f>
        <v/>
      </c>
    </row>
    <row r="874" spans="1:10" x14ac:dyDescent="0.35">
      <c r="A874" s="34"/>
      <c r="B874" s="35"/>
      <c r="C874" s="34"/>
      <c r="D874" s="34"/>
      <c r="E874" s="34"/>
      <c r="F874" s="46"/>
      <c r="G874" s="46"/>
      <c r="H874" s="14" t="str">
        <f>IF(Assessment_Sheet[[#This Row],[NAME ]]="","",ROUND((G874/60*40),0))</f>
        <v/>
      </c>
      <c r="I874" s="15" t="str">
        <f t="shared" si="14"/>
        <v/>
      </c>
      <c r="J874" s="16" t="str">
        <f>IF(B874="","",IF(OR(F874="",G874=""),"IC",VLOOKUP(I874,Scale[],2,1)))</f>
        <v/>
      </c>
    </row>
    <row r="875" spans="1:10" x14ac:dyDescent="0.35">
      <c r="A875" s="34"/>
      <c r="B875" s="35"/>
      <c r="C875" s="34"/>
      <c r="D875" s="34"/>
      <c r="E875" s="34"/>
      <c r="F875" s="46"/>
      <c r="G875" s="46"/>
      <c r="H875" s="14" t="str">
        <f>IF(Assessment_Sheet[[#This Row],[NAME ]]="","",ROUND((G875/60*40),0))</f>
        <v/>
      </c>
      <c r="I875" s="15" t="str">
        <f t="shared" si="14"/>
        <v/>
      </c>
      <c r="J875" s="16" t="str">
        <f>IF(B875="","",IF(OR(F875="",G875=""),"IC",VLOOKUP(I875,Scale[],2,1)))</f>
        <v/>
      </c>
    </row>
    <row r="876" spans="1:10" x14ac:dyDescent="0.35">
      <c r="A876" s="34"/>
      <c r="B876" s="35"/>
      <c r="C876" s="34"/>
      <c r="D876" s="34"/>
      <c r="E876" s="34"/>
      <c r="F876" s="46"/>
      <c r="G876" s="46"/>
      <c r="H876" s="14" t="str">
        <f>IF(Assessment_Sheet[[#This Row],[NAME ]]="","",ROUND((G876/60*40),0))</f>
        <v/>
      </c>
      <c r="I876" s="15" t="str">
        <f t="shared" si="14"/>
        <v/>
      </c>
      <c r="J876" s="16" t="str">
        <f>IF(B876="","",IF(OR(F876="",G876=""),"IC",VLOOKUP(I876,Scale[],2,1)))</f>
        <v/>
      </c>
    </row>
    <row r="877" spans="1:10" x14ac:dyDescent="0.35">
      <c r="A877" s="34"/>
      <c r="B877" s="35"/>
      <c r="C877" s="34"/>
      <c r="D877" s="34"/>
      <c r="E877" s="34"/>
      <c r="F877" s="46"/>
      <c r="G877" s="46"/>
      <c r="H877" s="14" t="str">
        <f>IF(Assessment_Sheet[[#This Row],[NAME ]]="","",ROUND((G877/60*40),0))</f>
        <v/>
      </c>
      <c r="I877" s="15" t="str">
        <f t="shared" si="14"/>
        <v/>
      </c>
      <c r="J877" s="16" t="str">
        <f>IF(B877="","",IF(OR(F877="",G877=""),"IC",VLOOKUP(I877,Scale[],2,1)))</f>
        <v/>
      </c>
    </row>
    <row r="878" spans="1:10" x14ac:dyDescent="0.35">
      <c r="A878" s="34"/>
      <c r="B878" s="35"/>
      <c r="C878" s="34"/>
      <c r="D878" s="34"/>
      <c r="E878" s="34"/>
      <c r="F878" s="46"/>
      <c r="G878" s="46"/>
      <c r="H878" s="14" t="str">
        <f>IF(Assessment_Sheet[[#This Row],[NAME ]]="","",ROUND((G878/60*40),0))</f>
        <v/>
      </c>
      <c r="I878" s="15" t="str">
        <f t="shared" si="14"/>
        <v/>
      </c>
      <c r="J878" s="16" t="str">
        <f>IF(B878="","",IF(OR(F878="",G878=""),"IC",VLOOKUP(I878,Scale[],2,1)))</f>
        <v/>
      </c>
    </row>
    <row r="879" spans="1:10" x14ac:dyDescent="0.35">
      <c r="A879" s="34"/>
      <c r="B879" s="35"/>
      <c r="C879" s="34"/>
      <c r="D879" s="34"/>
      <c r="E879" s="34"/>
      <c r="F879" s="46"/>
      <c r="G879" s="46"/>
      <c r="H879" s="14" t="str">
        <f>IF(Assessment_Sheet[[#This Row],[NAME ]]="","",ROUND((G879/60*40),0))</f>
        <v/>
      </c>
      <c r="I879" s="15" t="str">
        <f t="shared" si="14"/>
        <v/>
      </c>
      <c r="J879" s="16" t="str">
        <f>IF(B879="","",IF(OR(F879="",G879=""),"IC",VLOOKUP(I879,Scale[],2,1)))</f>
        <v/>
      </c>
    </row>
    <row r="880" spans="1:10" x14ac:dyDescent="0.35">
      <c r="A880" s="34"/>
      <c r="B880" s="35"/>
      <c r="C880" s="34"/>
      <c r="D880" s="34"/>
      <c r="E880" s="34"/>
      <c r="F880" s="46"/>
      <c r="G880" s="46"/>
      <c r="H880" s="14" t="str">
        <f>IF(Assessment_Sheet[[#This Row],[NAME ]]="","",ROUND((G880/60*40),0))</f>
        <v/>
      </c>
      <c r="I880" s="15" t="str">
        <f t="shared" si="14"/>
        <v/>
      </c>
      <c r="J880" s="16" t="str">
        <f>IF(B880="","",IF(OR(F880="",G880=""),"IC",VLOOKUP(I880,Scale[],2,1)))</f>
        <v/>
      </c>
    </row>
    <row r="881" spans="1:10" x14ac:dyDescent="0.35">
      <c r="A881" s="34"/>
      <c r="B881" s="35"/>
      <c r="C881" s="34"/>
      <c r="D881" s="34"/>
      <c r="E881" s="34"/>
      <c r="F881" s="46"/>
      <c r="G881" s="46"/>
      <c r="H881" s="14" t="str">
        <f>IF(Assessment_Sheet[[#This Row],[NAME ]]="","",ROUND((G881/60*40),0))</f>
        <v/>
      </c>
      <c r="I881" s="15" t="str">
        <f t="shared" si="14"/>
        <v/>
      </c>
      <c r="J881" s="16" t="str">
        <f>IF(B881="","",IF(OR(F881="",G881=""),"IC",VLOOKUP(I881,Scale[],2,1)))</f>
        <v/>
      </c>
    </row>
    <row r="882" spans="1:10" x14ac:dyDescent="0.35">
      <c r="A882" s="34"/>
      <c r="B882" s="35"/>
      <c r="C882" s="34"/>
      <c r="D882" s="34"/>
      <c r="E882" s="34"/>
      <c r="F882" s="46"/>
      <c r="G882" s="46"/>
      <c r="H882" s="14" t="str">
        <f>IF(Assessment_Sheet[[#This Row],[NAME ]]="","",ROUND((G882/60*40),0))</f>
        <v/>
      </c>
      <c r="I882" s="15" t="str">
        <f t="shared" si="14"/>
        <v/>
      </c>
      <c r="J882" s="16" t="str">
        <f>IF(B882="","",IF(OR(F882="",G882=""),"IC",VLOOKUP(I882,Scale[],2,1)))</f>
        <v/>
      </c>
    </row>
    <row r="883" spans="1:10" x14ac:dyDescent="0.35">
      <c r="A883" s="34"/>
      <c r="B883" s="35"/>
      <c r="C883" s="34"/>
      <c r="D883" s="34"/>
      <c r="E883" s="34"/>
      <c r="F883" s="46"/>
      <c r="G883" s="46"/>
      <c r="H883" s="14" t="str">
        <f>IF(Assessment_Sheet[[#This Row],[NAME ]]="","",ROUND((G883/60*40),0))</f>
        <v/>
      </c>
      <c r="I883" s="15" t="str">
        <f t="shared" si="14"/>
        <v/>
      </c>
      <c r="J883" s="16" t="str">
        <f>IF(B883="","",IF(OR(F883="",G883=""),"IC",VLOOKUP(I883,Scale[],2,1)))</f>
        <v/>
      </c>
    </row>
    <row r="884" spans="1:10" x14ac:dyDescent="0.35">
      <c r="A884" s="34"/>
      <c r="B884" s="35"/>
      <c r="C884" s="34"/>
      <c r="D884" s="34"/>
      <c r="E884" s="34"/>
      <c r="F884" s="46"/>
      <c r="G884" s="46"/>
      <c r="H884" s="14" t="str">
        <f>IF(Assessment_Sheet[[#This Row],[NAME ]]="","",ROUND((G884/60*40),0))</f>
        <v/>
      </c>
      <c r="I884" s="15" t="str">
        <f t="shared" si="14"/>
        <v/>
      </c>
      <c r="J884" s="16" t="str">
        <f>IF(B884="","",IF(OR(F884="",G884=""),"IC",VLOOKUP(I884,Scale[],2,1)))</f>
        <v/>
      </c>
    </row>
    <row r="885" spans="1:10" x14ac:dyDescent="0.35">
      <c r="A885" s="34"/>
      <c r="B885" s="35"/>
      <c r="C885" s="34"/>
      <c r="D885" s="34"/>
      <c r="E885" s="34"/>
      <c r="F885" s="46"/>
      <c r="G885" s="46"/>
      <c r="H885" s="14" t="str">
        <f>IF(Assessment_Sheet[[#This Row],[NAME ]]="","",ROUND((G885/60*40),0))</f>
        <v/>
      </c>
      <c r="I885" s="15" t="str">
        <f t="shared" si="14"/>
        <v/>
      </c>
      <c r="J885" s="16" t="str">
        <f>IF(B885="","",IF(OR(F885="",G885=""),"IC",VLOOKUP(I885,Scale[],2,1)))</f>
        <v/>
      </c>
    </row>
    <row r="886" spans="1:10" x14ac:dyDescent="0.35">
      <c r="A886" s="34"/>
      <c r="B886" s="35"/>
      <c r="C886" s="34"/>
      <c r="D886" s="34"/>
      <c r="E886" s="34"/>
      <c r="F886" s="46"/>
      <c r="G886" s="46"/>
      <c r="H886" s="14" t="str">
        <f>IF(Assessment_Sheet[[#This Row],[NAME ]]="","",ROUND((G886/60*40),0))</f>
        <v/>
      </c>
      <c r="I886" s="15" t="str">
        <f t="shared" si="14"/>
        <v/>
      </c>
      <c r="J886" s="16" t="str">
        <f>IF(B886="","",IF(OR(F886="",G886=""),"IC",VLOOKUP(I886,Scale[],2,1)))</f>
        <v/>
      </c>
    </row>
    <row r="887" spans="1:10" x14ac:dyDescent="0.35">
      <c r="A887" s="34"/>
      <c r="B887" s="35"/>
      <c r="C887" s="34"/>
      <c r="D887" s="34"/>
      <c r="E887" s="34"/>
      <c r="F887" s="46"/>
      <c r="G887" s="46"/>
      <c r="H887" s="14" t="str">
        <f>IF(Assessment_Sheet[[#This Row],[NAME ]]="","",ROUND((G887/60*40),0))</f>
        <v/>
      </c>
      <c r="I887" s="15" t="str">
        <f t="shared" si="14"/>
        <v/>
      </c>
      <c r="J887" s="16" t="str">
        <f>IF(B887="","",IF(OR(F887="",G887=""),"IC",VLOOKUP(I887,Scale[],2,1)))</f>
        <v/>
      </c>
    </row>
    <row r="888" spans="1:10" x14ac:dyDescent="0.35">
      <c r="A888" s="34"/>
      <c r="B888" s="35"/>
      <c r="C888" s="34"/>
      <c r="D888" s="34"/>
      <c r="E888" s="34"/>
      <c r="F888" s="46"/>
      <c r="G888" s="46"/>
      <c r="H888" s="14" t="str">
        <f>IF(Assessment_Sheet[[#This Row],[NAME ]]="","",ROUND((G888/60*40),0))</f>
        <v/>
      </c>
      <c r="I888" s="15" t="str">
        <f t="shared" si="14"/>
        <v/>
      </c>
      <c r="J888" s="16" t="str">
        <f>IF(B888="","",IF(OR(F888="",G888=""),"IC",VLOOKUP(I888,Scale[],2,1)))</f>
        <v/>
      </c>
    </row>
    <row r="889" spans="1:10" x14ac:dyDescent="0.35">
      <c r="A889" s="34"/>
      <c r="B889" s="35"/>
      <c r="C889" s="34"/>
      <c r="D889" s="34"/>
      <c r="E889" s="34"/>
      <c r="F889" s="46"/>
      <c r="G889" s="46"/>
      <c r="H889" s="14" t="str">
        <f>IF(Assessment_Sheet[[#This Row],[NAME ]]="","",ROUND((G889/60*40),0))</f>
        <v/>
      </c>
      <c r="I889" s="15" t="str">
        <f t="shared" si="14"/>
        <v/>
      </c>
      <c r="J889" s="16" t="str">
        <f>IF(B889="","",IF(OR(F889="",G889=""),"IC",VLOOKUP(I889,Scale[],2,1)))</f>
        <v/>
      </c>
    </row>
    <row r="890" spans="1:10" x14ac:dyDescent="0.35">
      <c r="A890" s="34"/>
      <c r="B890" s="35"/>
      <c r="C890" s="34"/>
      <c r="D890" s="34"/>
      <c r="E890" s="34"/>
      <c r="F890" s="46"/>
      <c r="G890" s="46"/>
      <c r="H890" s="14" t="str">
        <f>IF(Assessment_Sheet[[#This Row],[NAME ]]="","",ROUND((G890/60*40),0))</f>
        <v/>
      </c>
      <c r="I890" s="15" t="str">
        <f t="shared" si="14"/>
        <v/>
      </c>
      <c r="J890" s="16" t="str">
        <f>IF(B890="","",IF(OR(F890="",G890=""),"IC",VLOOKUP(I890,Scale[],2,1)))</f>
        <v/>
      </c>
    </row>
    <row r="891" spans="1:10" x14ac:dyDescent="0.35">
      <c r="A891" s="34"/>
      <c r="B891" s="35"/>
      <c r="C891" s="34"/>
      <c r="D891" s="34"/>
      <c r="E891" s="34"/>
      <c r="F891" s="46"/>
      <c r="G891" s="46"/>
      <c r="H891" s="14" t="str">
        <f>IF(Assessment_Sheet[[#This Row],[NAME ]]="","",ROUND((G891/60*40),0))</f>
        <v/>
      </c>
      <c r="I891" s="15" t="str">
        <f t="shared" si="14"/>
        <v/>
      </c>
      <c r="J891" s="16" t="str">
        <f>IF(B891="","",IF(OR(F891="",G891=""),"IC",VLOOKUP(I891,Scale[],2,1)))</f>
        <v/>
      </c>
    </row>
    <row r="892" spans="1:10" x14ac:dyDescent="0.35">
      <c r="A892" s="34"/>
      <c r="B892" s="35"/>
      <c r="C892" s="34"/>
      <c r="D892" s="34"/>
      <c r="E892" s="34"/>
      <c r="F892" s="46"/>
      <c r="G892" s="46"/>
      <c r="H892" s="14" t="str">
        <f>IF(Assessment_Sheet[[#This Row],[NAME ]]="","",ROUND((G892/60*40),0))</f>
        <v/>
      </c>
      <c r="I892" s="15" t="str">
        <f t="shared" si="14"/>
        <v/>
      </c>
      <c r="J892" s="16" t="str">
        <f>IF(B892="","",IF(OR(F892="",G892=""),"IC",VLOOKUP(I892,Scale[],2,1)))</f>
        <v/>
      </c>
    </row>
    <row r="893" spans="1:10" x14ac:dyDescent="0.35">
      <c r="A893" s="34"/>
      <c r="B893" s="35"/>
      <c r="C893" s="34"/>
      <c r="D893" s="34"/>
      <c r="E893" s="34"/>
      <c r="F893" s="46"/>
      <c r="G893" s="46"/>
      <c r="H893" s="14" t="str">
        <f>IF(Assessment_Sheet[[#This Row],[NAME ]]="","",ROUND((G893/60*40),0))</f>
        <v/>
      </c>
      <c r="I893" s="15" t="str">
        <f t="shared" si="14"/>
        <v/>
      </c>
      <c r="J893" s="16" t="str">
        <f>IF(B893="","",IF(OR(F893="",G893=""),"IC",VLOOKUP(I893,Scale[],2,1)))</f>
        <v/>
      </c>
    </row>
    <row r="894" spans="1:10" x14ac:dyDescent="0.35">
      <c r="A894" s="34"/>
      <c r="B894" s="35"/>
      <c r="C894" s="34"/>
      <c r="D894" s="34"/>
      <c r="E894" s="34"/>
      <c r="F894" s="46"/>
      <c r="G894" s="46"/>
      <c r="H894" s="14" t="str">
        <f>IF(Assessment_Sheet[[#This Row],[NAME ]]="","",ROUND((G894/60*40),0))</f>
        <v/>
      </c>
      <c r="I894" s="15" t="str">
        <f t="shared" si="14"/>
        <v/>
      </c>
      <c r="J894" s="16" t="str">
        <f>IF(B894="","",IF(OR(F894="",G894=""),"IC",VLOOKUP(I894,Scale[],2,1)))</f>
        <v/>
      </c>
    </row>
    <row r="895" spans="1:10" x14ac:dyDescent="0.35">
      <c r="A895" s="34"/>
      <c r="B895" s="35"/>
      <c r="C895" s="34"/>
      <c r="D895" s="34"/>
      <c r="E895" s="34"/>
      <c r="F895" s="46"/>
      <c r="G895" s="46"/>
      <c r="H895" s="14" t="str">
        <f>IF(Assessment_Sheet[[#This Row],[NAME ]]="","",ROUND((G895/60*40),0))</f>
        <v/>
      </c>
      <c r="I895" s="15" t="str">
        <f t="shared" si="14"/>
        <v/>
      </c>
      <c r="J895" s="16" t="str">
        <f>IF(B895="","",IF(OR(F895="",G895=""),"IC",VLOOKUP(I895,Scale[],2,1)))</f>
        <v/>
      </c>
    </row>
    <row r="896" spans="1:10" x14ac:dyDescent="0.35">
      <c r="A896" s="34"/>
      <c r="B896" s="35"/>
      <c r="C896" s="34"/>
      <c r="D896" s="34"/>
      <c r="E896" s="34"/>
      <c r="F896" s="46"/>
      <c r="G896" s="46"/>
      <c r="H896" s="14" t="str">
        <f>IF(Assessment_Sheet[[#This Row],[NAME ]]="","",ROUND((G896/60*40),0))</f>
        <v/>
      </c>
      <c r="I896" s="15" t="str">
        <f t="shared" si="14"/>
        <v/>
      </c>
      <c r="J896" s="16" t="str">
        <f>IF(B896="","",IF(OR(F896="",G896=""),"IC",VLOOKUP(I896,Scale[],2,1)))</f>
        <v/>
      </c>
    </row>
    <row r="897" spans="1:10" x14ac:dyDescent="0.35">
      <c r="A897" s="34"/>
      <c r="B897" s="35"/>
      <c r="C897" s="34"/>
      <c r="D897" s="34"/>
      <c r="E897" s="34"/>
      <c r="F897" s="46"/>
      <c r="G897" s="46"/>
      <c r="H897" s="14" t="str">
        <f>IF(Assessment_Sheet[[#This Row],[NAME ]]="","",ROUND((G897/60*40),0))</f>
        <v/>
      </c>
      <c r="I897" s="15" t="str">
        <f t="shared" si="14"/>
        <v/>
      </c>
      <c r="J897" s="16" t="str">
        <f>IF(B897="","",IF(OR(F897="",G897=""),"IC",VLOOKUP(I897,Scale[],2,1)))</f>
        <v/>
      </c>
    </row>
    <row r="898" spans="1:10" x14ac:dyDescent="0.35">
      <c r="A898" s="34"/>
      <c r="B898" s="35"/>
      <c r="C898" s="34"/>
      <c r="D898" s="34"/>
      <c r="E898" s="34"/>
      <c r="F898" s="46"/>
      <c r="G898" s="46"/>
      <c r="H898" s="14" t="str">
        <f>IF(Assessment_Sheet[[#This Row],[NAME ]]="","",ROUND((G898/60*40),0))</f>
        <v/>
      </c>
      <c r="I898" s="15" t="str">
        <f t="shared" si="14"/>
        <v/>
      </c>
      <c r="J898" s="16" t="str">
        <f>IF(B898="","",IF(OR(F898="",G898=""),"IC",VLOOKUP(I898,Scale[],2,1)))</f>
        <v/>
      </c>
    </row>
    <row r="899" spans="1:10" x14ac:dyDescent="0.35">
      <c r="A899" s="34"/>
      <c r="B899" s="35"/>
      <c r="C899" s="34"/>
      <c r="D899" s="34"/>
      <c r="E899" s="34"/>
      <c r="F899" s="46"/>
      <c r="G899" s="46"/>
      <c r="H899" s="14" t="str">
        <f>IF(Assessment_Sheet[[#This Row],[NAME ]]="","",ROUND((G899/60*40),0))</f>
        <v/>
      </c>
      <c r="I899" s="15" t="str">
        <f t="shared" si="14"/>
        <v/>
      </c>
      <c r="J899" s="16" t="str">
        <f>IF(B899="","",IF(OR(F899="",G899=""),"IC",VLOOKUP(I899,Scale[],2,1)))</f>
        <v/>
      </c>
    </row>
    <row r="900" spans="1:10" x14ac:dyDescent="0.35">
      <c r="A900" s="34"/>
      <c r="B900" s="35"/>
      <c r="C900" s="34"/>
      <c r="D900" s="34"/>
      <c r="E900" s="34"/>
      <c r="F900" s="46"/>
      <c r="G900" s="46"/>
      <c r="H900" s="14" t="str">
        <f>IF(Assessment_Sheet[[#This Row],[NAME ]]="","",ROUND((G900/60*40),0))</f>
        <v/>
      </c>
      <c r="I900" s="15" t="str">
        <f t="shared" si="14"/>
        <v/>
      </c>
      <c r="J900" s="16" t="str">
        <f>IF(B900="","",IF(OR(F900="",G900=""),"IC",VLOOKUP(I900,Scale[],2,1)))</f>
        <v/>
      </c>
    </row>
    <row r="901" spans="1:10" x14ac:dyDescent="0.35">
      <c r="A901" s="34"/>
      <c r="B901" s="35"/>
      <c r="C901" s="34"/>
      <c r="D901" s="34"/>
      <c r="E901" s="34"/>
      <c r="F901" s="46"/>
      <c r="G901" s="46"/>
      <c r="H901" s="14" t="str">
        <f>IF(Assessment_Sheet[[#This Row],[NAME ]]="","",ROUND((G901/60*40),0))</f>
        <v/>
      </c>
      <c r="I901" s="15" t="str">
        <f t="shared" si="14"/>
        <v/>
      </c>
      <c r="J901" s="16" t="str">
        <f>IF(B901="","",IF(OR(F901="",G901=""),"IC",VLOOKUP(I901,Scale[],2,1)))</f>
        <v/>
      </c>
    </row>
    <row r="902" spans="1:10" x14ac:dyDescent="0.35">
      <c r="A902" s="34"/>
      <c r="B902" s="35"/>
      <c r="C902" s="34"/>
      <c r="D902" s="34"/>
      <c r="E902" s="34"/>
      <c r="F902" s="46"/>
      <c r="G902" s="46"/>
      <c r="H902" s="14" t="str">
        <f>IF(Assessment_Sheet[[#This Row],[NAME ]]="","",ROUND((G902/60*40),0))</f>
        <v/>
      </c>
      <c r="I902" s="15" t="str">
        <f t="shared" si="14"/>
        <v/>
      </c>
      <c r="J902" s="16" t="str">
        <f>IF(B902="","",IF(OR(F902="",G902=""),"IC",VLOOKUP(I902,Scale[],2,1)))</f>
        <v/>
      </c>
    </row>
    <row r="903" spans="1:10" x14ac:dyDescent="0.35">
      <c r="A903" s="34"/>
      <c r="B903" s="35"/>
      <c r="C903" s="34"/>
      <c r="D903" s="34"/>
      <c r="E903" s="34"/>
      <c r="F903" s="46"/>
      <c r="G903" s="46"/>
      <c r="H903" s="14" t="str">
        <f>IF(Assessment_Sheet[[#This Row],[NAME ]]="","",ROUND((G903/60*40),0))</f>
        <v/>
      </c>
      <c r="I903" s="15" t="str">
        <f t="shared" si="14"/>
        <v/>
      </c>
      <c r="J903" s="16" t="str">
        <f>IF(B903="","",IF(OR(F903="",G903=""),"IC",VLOOKUP(I903,Scale[],2,1)))</f>
        <v/>
      </c>
    </row>
    <row r="904" spans="1:10" x14ac:dyDescent="0.35">
      <c r="A904" s="34"/>
      <c r="B904" s="35"/>
      <c r="C904" s="34"/>
      <c r="D904" s="34"/>
      <c r="E904" s="34"/>
      <c r="F904" s="46"/>
      <c r="G904" s="46"/>
      <c r="H904" s="14" t="str">
        <f>IF(Assessment_Sheet[[#This Row],[NAME ]]="","",ROUND((G904/60*40),0))</f>
        <v/>
      </c>
      <c r="I904" s="15" t="str">
        <f t="shared" ref="I904:I967" si="15">IFERROR(ROUND((F904+H904),0),"")</f>
        <v/>
      </c>
      <c r="J904" s="16" t="str">
        <f>IF(B904="","",IF(OR(F904="",G904=""),"IC",VLOOKUP(I904,Scale[],2,1)))</f>
        <v/>
      </c>
    </row>
    <row r="905" spans="1:10" x14ac:dyDescent="0.35">
      <c r="A905" s="34"/>
      <c r="B905" s="35"/>
      <c r="C905" s="34"/>
      <c r="D905" s="34"/>
      <c r="E905" s="34"/>
      <c r="F905" s="46"/>
      <c r="G905" s="46"/>
      <c r="H905" s="14" t="str">
        <f>IF(Assessment_Sheet[[#This Row],[NAME ]]="","",ROUND((G905/60*40),0))</f>
        <v/>
      </c>
      <c r="I905" s="15" t="str">
        <f t="shared" si="15"/>
        <v/>
      </c>
      <c r="J905" s="16" t="str">
        <f>IF(B905="","",IF(OR(F905="",G905=""),"IC",VLOOKUP(I905,Scale[],2,1)))</f>
        <v/>
      </c>
    </row>
    <row r="906" spans="1:10" x14ac:dyDescent="0.35">
      <c r="A906" s="34"/>
      <c r="B906" s="35"/>
      <c r="C906" s="34"/>
      <c r="D906" s="34"/>
      <c r="E906" s="34"/>
      <c r="F906" s="46"/>
      <c r="G906" s="46"/>
      <c r="H906" s="14" t="str">
        <f>IF(Assessment_Sheet[[#This Row],[NAME ]]="","",ROUND((G906/60*40),0))</f>
        <v/>
      </c>
      <c r="I906" s="15" t="str">
        <f t="shared" si="15"/>
        <v/>
      </c>
      <c r="J906" s="16" t="str">
        <f>IF(B906="","",IF(OR(F906="",G906=""),"IC",VLOOKUP(I906,Scale[],2,1)))</f>
        <v/>
      </c>
    </row>
    <row r="907" spans="1:10" x14ac:dyDescent="0.35">
      <c r="A907" s="34"/>
      <c r="B907" s="35"/>
      <c r="C907" s="34"/>
      <c r="D907" s="34"/>
      <c r="E907" s="34"/>
      <c r="F907" s="46"/>
      <c r="G907" s="46"/>
      <c r="H907" s="14" t="str">
        <f>IF(Assessment_Sheet[[#This Row],[NAME ]]="","",ROUND((G907/60*40),0))</f>
        <v/>
      </c>
      <c r="I907" s="15" t="str">
        <f t="shared" si="15"/>
        <v/>
      </c>
      <c r="J907" s="16" t="str">
        <f>IF(B907="","",IF(OR(F907="",G907=""),"IC",VLOOKUP(I907,Scale[],2,1)))</f>
        <v/>
      </c>
    </row>
    <row r="908" spans="1:10" x14ac:dyDescent="0.35">
      <c r="A908" s="34"/>
      <c r="B908" s="35"/>
      <c r="C908" s="34"/>
      <c r="D908" s="34"/>
      <c r="E908" s="34"/>
      <c r="F908" s="46"/>
      <c r="G908" s="46"/>
      <c r="H908" s="14" t="str">
        <f>IF(Assessment_Sheet[[#This Row],[NAME ]]="","",ROUND((G908/60*40),0))</f>
        <v/>
      </c>
      <c r="I908" s="15" t="str">
        <f t="shared" si="15"/>
        <v/>
      </c>
      <c r="J908" s="16" t="str">
        <f>IF(B908="","",IF(OR(F908="",G908=""),"IC",VLOOKUP(I908,Scale[],2,1)))</f>
        <v/>
      </c>
    </row>
    <row r="909" spans="1:10" x14ac:dyDescent="0.35">
      <c r="A909" s="34"/>
      <c r="B909" s="35"/>
      <c r="C909" s="34"/>
      <c r="D909" s="34"/>
      <c r="E909" s="34"/>
      <c r="F909" s="46"/>
      <c r="G909" s="46"/>
      <c r="H909" s="14" t="str">
        <f>IF(Assessment_Sheet[[#This Row],[NAME ]]="","",ROUND((G909/60*40),0))</f>
        <v/>
      </c>
      <c r="I909" s="15" t="str">
        <f t="shared" si="15"/>
        <v/>
      </c>
      <c r="J909" s="16" t="str">
        <f>IF(B909="","",IF(OR(F909="",G909=""),"IC",VLOOKUP(I909,Scale[],2,1)))</f>
        <v/>
      </c>
    </row>
    <row r="910" spans="1:10" x14ac:dyDescent="0.35">
      <c r="A910" s="34"/>
      <c r="B910" s="35"/>
      <c r="C910" s="34"/>
      <c r="D910" s="34"/>
      <c r="E910" s="34"/>
      <c r="F910" s="46"/>
      <c r="G910" s="46"/>
      <c r="H910" s="14" t="str">
        <f>IF(Assessment_Sheet[[#This Row],[NAME ]]="","",ROUND((G910/60*40),0))</f>
        <v/>
      </c>
      <c r="I910" s="15" t="str">
        <f t="shared" si="15"/>
        <v/>
      </c>
      <c r="J910" s="16" t="str">
        <f>IF(B910="","",IF(OR(F910="",G910=""),"IC",VLOOKUP(I910,Scale[],2,1)))</f>
        <v/>
      </c>
    </row>
    <row r="911" spans="1:10" x14ac:dyDescent="0.35">
      <c r="A911" s="34"/>
      <c r="B911" s="35"/>
      <c r="C911" s="34"/>
      <c r="D911" s="34"/>
      <c r="E911" s="34"/>
      <c r="F911" s="46"/>
      <c r="G911" s="46"/>
      <c r="H911" s="14" t="str">
        <f>IF(Assessment_Sheet[[#This Row],[NAME ]]="","",ROUND((G911/60*40),0))</f>
        <v/>
      </c>
      <c r="I911" s="15" t="str">
        <f t="shared" si="15"/>
        <v/>
      </c>
      <c r="J911" s="16" t="str">
        <f>IF(B911="","",IF(OR(F911="",G911=""),"IC",VLOOKUP(I911,Scale[],2,1)))</f>
        <v/>
      </c>
    </row>
    <row r="912" spans="1:10" x14ac:dyDescent="0.35">
      <c r="A912" s="34"/>
      <c r="B912" s="35"/>
      <c r="C912" s="34"/>
      <c r="D912" s="34"/>
      <c r="E912" s="34"/>
      <c r="F912" s="46"/>
      <c r="G912" s="46"/>
      <c r="H912" s="14" t="str">
        <f>IF(Assessment_Sheet[[#This Row],[NAME ]]="","",ROUND((G912/60*40),0))</f>
        <v/>
      </c>
      <c r="I912" s="15" t="str">
        <f t="shared" si="15"/>
        <v/>
      </c>
      <c r="J912" s="16" t="str">
        <f>IF(B912="","",IF(OR(F912="",G912=""),"IC",VLOOKUP(I912,Scale[],2,1)))</f>
        <v/>
      </c>
    </row>
    <row r="913" spans="1:10" x14ac:dyDescent="0.35">
      <c r="A913" s="34"/>
      <c r="B913" s="35"/>
      <c r="C913" s="34"/>
      <c r="D913" s="34"/>
      <c r="E913" s="34"/>
      <c r="F913" s="46"/>
      <c r="G913" s="46"/>
      <c r="H913" s="14" t="str">
        <f>IF(Assessment_Sheet[[#This Row],[NAME ]]="","",ROUND((G913/60*40),0))</f>
        <v/>
      </c>
      <c r="I913" s="15" t="str">
        <f t="shared" si="15"/>
        <v/>
      </c>
      <c r="J913" s="16" t="str">
        <f>IF(B913="","",IF(OR(F913="",G913=""),"IC",VLOOKUP(I913,Scale[],2,1)))</f>
        <v/>
      </c>
    </row>
    <row r="914" spans="1:10" x14ac:dyDescent="0.35">
      <c r="A914" s="34"/>
      <c r="B914" s="35"/>
      <c r="C914" s="34"/>
      <c r="D914" s="34"/>
      <c r="E914" s="34"/>
      <c r="F914" s="46"/>
      <c r="G914" s="46"/>
      <c r="H914" s="14" t="str">
        <f>IF(Assessment_Sheet[[#This Row],[NAME ]]="","",ROUND((G914/60*40),0))</f>
        <v/>
      </c>
      <c r="I914" s="15" t="str">
        <f t="shared" si="15"/>
        <v/>
      </c>
      <c r="J914" s="16" t="str">
        <f>IF(B914="","",IF(OR(F914="",G914=""),"IC",VLOOKUP(I914,Scale[],2,1)))</f>
        <v/>
      </c>
    </row>
    <row r="915" spans="1:10" x14ac:dyDescent="0.35">
      <c r="A915" s="34"/>
      <c r="B915" s="35"/>
      <c r="C915" s="34"/>
      <c r="D915" s="34"/>
      <c r="E915" s="34"/>
      <c r="F915" s="46"/>
      <c r="G915" s="46"/>
      <c r="H915" s="14" t="str">
        <f>IF(Assessment_Sheet[[#This Row],[NAME ]]="","",ROUND((G915/60*40),0))</f>
        <v/>
      </c>
      <c r="I915" s="15" t="str">
        <f t="shared" si="15"/>
        <v/>
      </c>
      <c r="J915" s="16" t="str">
        <f>IF(B915="","",IF(OR(F915="",G915=""),"IC",VLOOKUP(I915,Scale[],2,1)))</f>
        <v/>
      </c>
    </row>
    <row r="916" spans="1:10" x14ac:dyDescent="0.35">
      <c r="A916" s="34"/>
      <c r="B916" s="35"/>
      <c r="C916" s="34"/>
      <c r="D916" s="34"/>
      <c r="E916" s="34"/>
      <c r="F916" s="46"/>
      <c r="G916" s="46"/>
      <c r="H916" s="14" t="str">
        <f>IF(Assessment_Sheet[[#This Row],[NAME ]]="","",ROUND((G916/60*40),0))</f>
        <v/>
      </c>
      <c r="I916" s="15" t="str">
        <f t="shared" si="15"/>
        <v/>
      </c>
      <c r="J916" s="16" t="str">
        <f>IF(B916="","",IF(OR(F916="",G916=""),"IC",VLOOKUP(I916,Scale[],2,1)))</f>
        <v/>
      </c>
    </row>
    <row r="917" spans="1:10" x14ac:dyDescent="0.35">
      <c r="A917" s="34"/>
      <c r="B917" s="35"/>
      <c r="C917" s="34"/>
      <c r="D917" s="34"/>
      <c r="E917" s="34"/>
      <c r="F917" s="46"/>
      <c r="G917" s="46"/>
      <c r="H917" s="14" t="str">
        <f>IF(Assessment_Sheet[[#This Row],[NAME ]]="","",ROUND((G917/60*40),0))</f>
        <v/>
      </c>
      <c r="I917" s="15" t="str">
        <f t="shared" si="15"/>
        <v/>
      </c>
      <c r="J917" s="16" t="str">
        <f>IF(B917="","",IF(OR(F917="",G917=""),"IC",VLOOKUP(I917,Scale[],2,1)))</f>
        <v/>
      </c>
    </row>
    <row r="918" spans="1:10" x14ac:dyDescent="0.35">
      <c r="A918" s="34"/>
      <c r="B918" s="35"/>
      <c r="C918" s="34"/>
      <c r="D918" s="34"/>
      <c r="E918" s="34"/>
      <c r="F918" s="46"/>
      <c r="G918" s="46"/>
      <c r="H918" s="14" t="str">
        <f>IF(Assessment_Sheet[[#This Row],[NAME ]]="","",ROUND((G918/60*40),0))</f>
        <v/>
      </c>
      <c r="I918" s="15" t="str">
        <f t="shared" si="15"/>
        <v/>
      </c>
      <c r="J918" s="16" t="str">
        <f>IF(B918="","",IF(OR(F918="",G918=""),"IC",VLOOKUP(I918,Scale[],2,1)))</f>
        <v/>
      </c>
    </row>
    <row r="919" spans="1:10" x14ac:dyDescent="0.35">
      <c r="A919" s="34"/>
      <c r="B919" s="35"/>
      <c r="C919" s="34"/>
      <c r="D919" s="34"/>
      <c r="E919" s="34"/>
      <c r="F919" s="46"/>
      <c r="G919" s="46"/>
      <c r="H919" s="14" t="str">
        <f>IF(Assessment_Sheet[[#This Row],[NAME ]]="","",ROUND((G919/60*40),0))</f>
        <v/>
      </c>
      <c r="I919" s="15" t="str">
        <f t="shared" si="15"/>
        <v/>
      </c>
      <c r="J919" s="16" t="str">
        <f>IF(B919="","",IF(OR(F919="",G919=""),"IC",VLOOKUP(I919,Scale[],2,1)))</f>
        <v/>
      </c>
    </row>
    <row r="920" spans="1:10" x14ac:dyDescent="0.35">
      <c r="A920" s="34"/>
      <c r="B920" s="35"/>
      <c r="C920" s="34"/>
      <c r="D920" s="34"/>
      <c r="E920" s="34"/>
      <c r="F920" s="46"/>
      <c r="G920" s="46"/>
      <c r="H920" s="14" t="str">
        <f>IF(Assessment_Sheet[[#This Row],[NAME ]]="","",ROUND((G920/60*40),0))</f>
        <v/>
      </c>
      <c r="I920" s="15" t="str">
        <f t="shared" si="15"/>
        <v/>
      </c>
      <c r="J920" s="16" t="str">
        <f>IF(B920="","",IF(OR(F920="",G920=""),"IC",VLOOKUP(I920,Scale[],2,1)))</f>
        <v/>
      </c>
    </row>
    <row r="921" spans="1:10" x14ac:dyDescent="0.35">
      <c r="A921" s="34"/>
      <c r="B921" s="35"/>
      <c r="C921" s="34"/>
      <c r="D921" s="34"/>
      <c r="E921" s="34"/>
      <c r="F921" s="46"/>
      <c r="G921" s="46"/>
      <c r="H921" s="14" t="str">
        <f>IF(Assessment_Sheet[[#This Row],[NAME ]]="","",ROUND((G921/60*40),0))</f>
        <v/>
      </c>
      <c r="I921" s="15" t="str">
        <f t="shared" si="15"/>
        <v/>
      </c>
      <c r="J921" s="16" t="str">
        <f>IF(B921="","",IF(OR(F921="",G921=""),"IC",VLOOKUP(I921,Scale[],2,1)))</f>
        <v/>
      </c>
    </row>
    <row r="922" spans="1:10" x14ac:dyDescent="0.35">
      <c r="A922" s="34"/>
      <c r="B922" s="35"/>
      <c r="C922" s="34"/>
      <c r="D922" s="34"/>
      <c r="E922" s="34"/>
      <c r="F922" s="46"/>
      <c r="G922" s="46"/>
      <c r="H922" s="14" t="str">
        <f>IF(Assessment_Sheet[[#This Row],[NAME ]]="","",ROUND((G922/60*40),0))</f>
        <v/>
      </c>
      <c r="I922" s="15" t="str">
        <f t="shared" si="15"/>
        <v/>
      </c>
      <c r="J922" s="16" t="str">
        <f>IF(B922="","",IF(OR(F922="",G922=""),"IC",VLOOKUP(I922,Scale[],2,1)))</f>
        <v/>
      </c>
    </row>
    <row r="923" spans="1:10" x14ac:dyDescent="0.35">
      <c r="A923" s="34"/>
      <c r="B923" s="35"/>
      <c r="C923" s="34"/>
      <c r="D923" s="34"/>
      <c r="E923" s="34"/>
      <c r="F923" s="46"/>
      <c r="G923" s="46"/>
      <c r="H923" s="14" t="str">
        <f>IF(Assessment_Sheet[[#This Row],[NAME ]]="","",ROUND((G923/60*40),0))</f>
        <v/>
      </c>
      <c r="I923" s="15" t="str">
        <f t="shared" si="15"/>
        <v/>
      </c>
      <c r="J923" s="16" t="str">
        <f>IF(B923="","",IF(OR(F923="",G923=""),"IC",VLOOKUP(I923,Scale[],2,1)))</f>
        <v/>
      </c>
    </row>
    <row r="924" spans="1:10" x14ac:dyDescent="0.35">
      <c r="A924" s="34"/>
      <c r="B924" s="35"/>
      <c r="C924" s="34"/>
      <c r="D924" s="34"/>
      <c r="E924" s="34"/>
      <c r="F924" s="46"/>
      <c r="G924" s="46"/>
      <c r="H924" s="14" t="str">
        <f>IF(Assessment_Sheet[[#This Row],[NAME ]]="","",ROUND((G924/60*40),0))</f>
        <v/>
      </c>
      <c r="I924" s="15" t="str">
        <f t="shared" si="15"/>
        <v/>
      </c>
      <c r="J924" s="16" t="str">
        <f>IF(B924="","",IF(OR(F924="",G924=""),"IC",VLOOKUP(I924,Scale[],2,1)))</f>
        <v/>
      </c>
    </row>
    <row r="925" spans="1:10" x14ac:dyDescent="0.35">
      <c r="A925" s="34"/>
      <c r="B925" s="35"/>
      <c r="C925" s="34"/>
      <c r="D925" s="34"/>
      <c r="E925" s="34"/>
      <c r="F925" s="46"/>
      <c r="G925" s="46"/>
      <c r="H925" s="14" t="str">
        <f>IF(Assessment_Sheet[[#This Row],[NAME ]]="","",ROUND((G925/60*40),0))</f>
        <v/>
      </c>
      <c r="I925" s="15" t="str">
        <f t="shared" si="15"/>
        <v/>
      </c>
      <c r="J925" s="16" t="str">
        <f>IF(B925="","",IF(OR(F925="",G925=""),"IC",VLOOKUP(I925,Scale[],2,1)))</f>
        <v/>
      </c>
    </row>
    <row r="926" spans="1:10" x14ac:dyDescent="0.35">
      <c r="A926" s="34"/>
      <c r="B926" s="35"/>
      <c r="C926" s="34"/>
      <c r="D926" s="34"/>
      <c r="E926" s="34"/>
      <c r="F926" s="46"/>
      <c r="G926" s="46"/>
      <c r="H926" s="14" t="str">
        <f>IF(Assessment_Sheet[[#This Row],[NAME ]]="","",ROUND((G926/60*40),0))</f>
        <v/>
      </c>
      <c r="I926" s="15" t="str">
        <f t="shared" si="15"/>
        <v/>
      </c>
      <c r="J926" s="16" t="str">
        <f>IF(B926="","",IF(OR(F926="",G926=""),"IC",VLOOKUP(I926,Scale[],2,1)))</f>
        <v/>
      </c>
    </row>
    <row r="927" spans="1:10" x14ac:dyDescent="0.35">
      <c r="A927" s="34"/>
      <c r="B927" s="35"/>
      <c r="C927" s="34"/>
      <c r="D927" s="34"/>
      <c r="E927" s="34"/>
      <c r="F927" s="46"/>
      <c r="G927" s="46"/>
      <c r="H927" s="14" t="str">
        <f>IF(Assessment_Sheet[[#This Row],[NAME ]]="","",ROUND((G927/60*40),0))</f>
        <v/>
      </c>
      <c r="I927" s="15" t="str">
        <f t="shared" si="15"/>
        <v/>
      </c>
      <c r="J927" s="16" t="str">
        <f>IF(B927="","",IF(OR(F927="",G927=""),"IC",VLOOKUP(I927,Scale[],2,1)))</f>
        <v/>
      </c>
    </row>
    <row r="928" spans="1:10" x14ac:dyDescent="0.35">
      <c r="A928" s="34"/>
      <c r="B928" s="35"/>
      <c r="C928" s="34"/>
      <c r="D928" s="34"/>
      <c r="E928" s="34"/>
      <c r="F928" s="46"/>
      <c r="G928" s="46"/>
      <c r="H928" s="14" t="str">
        <f>IF(Assessment_Sheet[[#This Row],[NAME ]]="","",ROUND((G928/60*40),0))</f>
        <v/>
      </c>
      <c r="I928" s="15" t="str">
        <f t="shared" si="15"/>
        <v/>
      </c>
      <c r="J928" s="16" t="str">
        <f>IF(B928="","",IF(OR(F928="",G928=""),"IC",VLOOKUP(I928,Scale[],2,1)))</f>
        <v/>
      </c>
    </row>
    <row r="929" spans="1:10" x14ac:dyDescent="0.35">
      <c r="A929" s="34"/>
      <c r="B929" s="35"/>
      <c r="C929" s="34"/>
      <c r="D929" s="34"/>
      <c r="E929" s="34"/>
      <c r="F929" s="46"/>
      <c r="G929" s="46"/>
      <c r="H929" s="14" t="str">
        <f>IF(Assessment_Sheet[[#This Row],[NAME ]]="","",ROUND((G929/60*40),0))</f>
        <v/>
      </c>
      <c r="I929" s="15" t="str">
        <f t="shared" si="15"/>
        <v/>
      </c>
      <c r="J929" s="16" t="str">
        <f>IF(B929="","",IF(OR(F929="",G929=""),"IC",VLOOKUP(I929,Scale[],2,1)))</f>
        <v/>
      </c>
    </row>
    <row r="930" spans="1:10" x14ac:dyDescent="0.35">
      <c r="A930" s="34"/>
      <c r="B930" s="35"/>
      <c r="C930" s="34"/>
      <c r="D930" s="34"/>
      <c r="E930" s="34"/>
      <c r="F930" s="46"/>
      <c r="G930" s="46"/>
      <c r="H930" s="14" t="str">
        <f>IF(Assessment_Sheet[[#This Row],[NAME ]]="","",ROUND((G930/60*40),0))</f>
        <v/>
      </c>
      <c r="I930" s="15" t="str">
        <f t="shared" si="15"/>
        <v/>
      </c>
      <c r="J930" s="16" t="str">
        <f>IF(B930="","",IF(OR(F930="",G930=""),"IC",VLOOKUP(I930,Scale[],2,1)))</f>
        <v/>
      </c>
    </row>
    <row r="931" spans="1:10" x14ac:dyDescent="0.35">
      <c r="A931" s="34"/>
      <c r="B931" s="35"/>
      <c r="C931" s="34"/>
      <c r="D931" s="34"/>
      <c r="E931" s="34"/>
      <c r="F931" s="46"/>
      <c r="G931" s="46"/>
      <c r="H931" s="14" t="str">
        <f>IF(Assessment_Sheet[[#This Row],[NAME ]]="","",ROUND((G931/60*40),0))</f>
        <v/>
      </c>
      <c r="I931" s="15" t="str">
        <f t="shared" si="15"/>
        <v/>
      </c>
      <c r="J931" s="16" t="str">
        <f>IF(B931="","",IF(OR(F931="",G931=""),"IC",VLOOKUP(I931,Scale[],2,1)))</f>
        <v/>
      </c>
    </row>
    <row r="932" spans="1:10" x14ac:dyDescent="0.35">
      <c r="A932" s="34"/>
      <c r="B932" s="35"/>
      <c r="C932" s="34"/>
      <c r="D932" s="34"/>
      <c r="E932" s="34"/>
      <c r="F932" s="46"/>
      <c r="G932" s="46"/>
      <c r="H932" s="14" t="str">
        <f>IF(Assessment_Sheet[[#This Row],[NAME ]]="","",ROUND((G932/60*40),0))</f>
        <v/>
      </c>
      <c r="I932" s="15" t="str">
        <f t="shared" si="15"/>
        <v/>
      </c>
      <c r="J932" s="16" t="str">
        <f>IF(B932="","",IF(OR(F932="",G932=""),"IC",VLOOKUP(I932,Scale[],2,1)))</f>
        <v/>
      </c>
    </row>
    <row r="933" spans="1:10" x14ac:dyDescent="0.35">
      <c r="A933" s="34"/>
      <c r="B933" s="35"/>
      <c r="C933" s="34"/>
      <c r="D933" s="34"/>
      <c r="E933" s="34"/>
      <c r="F933" s="46"/>
      <c r="G933" s="46"/>
      <c r="H933" s="14" t="str">
        <f>IF(Assessment_Sheet[[#This Row],[NAME ]]="","",ROUND((G933/60*40),0))</f>
        <v/>
      </c>
      <c r="I933" s="15" t="str">
        <f t="shared" si="15"/>
        <v/>
      </c>
      <c r="J933" s="16" t="str">
        <f>IF(B933="","",IF(OR(F933="",G933=""),"IC",VLOOKUP(I933,Scale[],2,1)))</f>
        <v/>
      </c>
    </row>
    <row r="934" spans="1:10" x14ac:dyDescent="0.35">
      <c r="A934" s="34"/>
      <c r="B934" s="35"/>
      <c r="C934" s="34"/>
      <c r="D934" s="34"/>
      <c r="E934" s="34"/>
      <c r="F934" s="46"/>
      <c r="G934" s="46"/>
      <c r="H934" s="14" t="str">
        <f>IF(Assessment_Sheet[[#This Row],[NAME ]]="","",ROUND((G934/60*40),0))</f>
        <v/>
      </c>
      <c r="I934" s="15" t="str">
        <f t="shared" si="15"/>
        <v/>
      </c>
      <c r="J934" s="16" t="str">
        <f>IF(B934="","",IF(OR(F934="",G934=""),"IC",VLOOKUP(I934,Scale[],2,1)))</f>
        <v/>
      </c>
    </row>
    <row r="935" spans="1:10" x14ac:dyDescent="0.35">
      <c r="A935" s="34"/>
      <c r="B935" s="35"/>
      <c r="C935" s="34"/>
      <c r="D935" s="34"/>
      <c r="E935" s="34"/>
      <c r="F935" s="46"/>
      <c r="G935" s="46"/>
      <c r="H935" s="14" t="str">
        <f>IF(Assessment_Sheet[[#This Row],[NAME ]]="","",ROUND((G935/60*40),0))</f>
        <v/>
      </c>
      <c r="I935" s="15" t="str">
        <f t="shared" si="15"/>
        <v/>
      </c>
      <c r="J935" s="16" t="str">
        <f>IF(B935="","",IF(OR(F935="",G935=""),"IC",VLOOKUP(I935,Scale[],2,1)))</f>
        <v/>
      </c>
    </row>
    <row r="936" spans="1:10" x14ac:dyDescent="0.35">
      <c r="A936" s="34"/>
      <c r="B936" s="35"/>
      <c r="C936" s="34"/>
      <c r="D936" s="34"/>
      <c r="E936" s="34"/>
      <c r="F936" s="46"/>
      <c r="G936" s="46"/>
      <c r="H936" s="14" t="str">
        <f>IF(Assessment_Sheet[[#This Row],[NAME ]]="","",ROUND((G936/60*40),0))</f>
        <v/>
      </c>
      <c r="I936" s="15" t="str">
        <f t="shared" si="15"/>
        <v/>
      </c>
      <c r="J936" s="16" t="str">
        <f>IF(B936="","",IF(OR(F936="",G936=""),"IC",VLOOKUP(I936,Scale[],2,1)))</f>
        <v/>
      </c>
    </row>
    <row r="937" spans="1:10" x14ac:dyDescent="0.35">
      <c r="A937" s="34"/>
      <c r="B937" s="35"/>
      <c r="C937" s="34"/>
      <c r="D937" s="34"/>
      <c r="E937" s="34"/>
      <c r="F937" s="46"/>
      <c r="G937" s="46"/>
      <c r="H937" s="14" t="str">
        <f>IF(Assessment_Sheet[[#This Row],[NAME ]]="","",ROUND((G937/60*40),0))</f>
        <v/>
      </c>
      <c r="I937" s="15" t="str">
        <f t="shared" si="15"/>
        <v/>
      </c>
      <c r="J937" s="16" t="str">
        <f>IF(B937="","",IF(OR(F937="",G937=""),"IC",VLOOKUP(I937,Scale[],2,1)))</f>
        <v/>
      </c>
    </row>
    <row r="938" spans="1:10" x14ac:dyDescent="0.35">
      <c r="A938" s="34"/>
      <c r="B938" s="35"/>
      <c r="C938" s="34"/>
      <c r="D938" s="34"/>
      <c r="E938" s="34"/>
      <c r="F938" s="46"/>
      <c r="G938" s="46"/>
      <c r="H938" s="14" t="str">
        <f>IF(Assessment_Sheet[[#This Row],[NAME ]]="","",ROUND((G938/60*40),0))</f>
        <v/>
      </c>
      <c r="I938" s="15" t="str">
        <f t="shared" si="15"/>
        <v/>
      </c>
      <c r="J938" s="16" t="str">
        <f>IF(B938="","",IF(OR(F938="",G938=""),"IC",VLOOKUP(I938,Scale[],2,1)))</f>
        <v/>
      </c>
    </row>
    <row r="939" spans="1:10" x14ac:dyDescent="0.35">
      <c r="A939" s="34"/>
      <c r="B939" s="35"/>
      <c r="C939" s="34"/>
      <c r="D939" s="34"/>
      <c r="E939" s="34"/>
      <c r="F939" s="46"/>
      <c r="G939" s="46"/>
      <c r="H939" s="14" t="str">
        <f>IF(Assessment_Sheet[[#This Row],[NAME ]]="","",ROUND((G939/60*40),0))</f>
        <v/>
      </c>
      <c r="I939" s="15" t="str">
        <f t="shared" si="15"/>
        <v/>
      </c>
      <c r="J939" s="16" t="str">
        <f>IF(B939="","",IF(OR(F939="",G939=""),"IC",VLOOKUP(I939,Scale[],2,1)))</f>
        <v/>
      </c>
    </row>
    <row r="940" spans="1:10" x14ac:dyDescent="0.35">
      <c r="A940" s="34"/>
      <c r="B940" s="35"/>
      <c r="C940" s="34"/>
      <c r="D940" s="34"/>
      <c r="E940" s="34"/>
      <c r="F940" s="46"/>
      <c r="G940" s="46"/>
      <c r="H940" s="14" t="str">
        <f>IF(Assessment_Sheet[[#This Row],[NAME ]]="","",ROUND((G940/60*40),0))</f>
        <v/>
      </c>
      <c r="I940" s="15" t="str">
        <f t="shared" si="15"/>
        <v/>
      </c>
      <c r="J940" s="16" t="str">
        <f>IF(B940="","",IF(OR(F940="",G940=""),"IC",VLOOKUP(I940,Scale[],2,1)))</f>
        <v/>
      </c>
    </row>
    <row r="941" spans="1:10" x14ac:dyDescent="0.35">
      <c r="A941" s="34"/>
      <c r="B941" s="35"/>
      <c r="C941" s="34"/>
      <c r="D941" s="34"/>
      <c r="E941" s="34"/>
      <c r="F941" s="46"/>
      <c r="G941" s="46"/>
      <c r="H941" s="14" t="str">
        <f>IF(Assessment_Sheet[[#This Row],[NAME ]]="","",ROUND((G941/60*40),0))</f>
        <v/>
      </c>
      <c r="I941" s="15" t="str">
        <f t="shared" si="15"/>
        <v/>
      </c>
      <c r="J941" s="16" t="str">
        <f>IF(B941="","",IF(OR(F941="",G941=""),"IC",VLOOKUP(I941,Scale[],2,1)))</f>
        <v/>
      </c>
    </row>
    <row r="942" spans="1:10" x14ac:dyDescent="0.35">
      <c r="A942" s="34"/>
      <c r="B942" s="35"/>
      <c r="C942" s="34"/>
      <c r="D942" s="34"/>
      <c r="E942" s="34"/>
      <c r="F942" s="46"/>
      <c r="G942" s="46"/>
      <c r="H942" s="14" t="str">
        <f>IF(Assessment_Sheet[[#This Row],[NAME ]]="","",ROUND((G942/60*40),0))</f>
        <v/>
      </c>
      <c r="I942" s="15" t="str">
        <f t="shared" si="15"/>
        <v/>
      </c>
      <c r="J942" s="16" t="str">
        <f>IF(B942="","",IF(OR(F942="",G942=""),"IC",VLOOKUP(I942,Scale[],2,1)))</f>
        <v/>
      </c>
    </row>
    <row r="943" spans="1:10" x14ac:dyDescent="0.35">
      <c r="A943" s="34"/>
      <c r="B943" s="35"/>
      <c r="C943" s="34"/>
      <c r="D943" s="34"/>
      <c r="E943" s="34"/>
      <c r="F943" s="46"/>
      <c r="G943" s="46"/>
      <c r="H943" s="14" t="str">
        <f>IF(Assessment_Sheet[[#This Row],[NAME ]]="","",ROUND((G943/60*40),0))</f>
        <v/>
      </c>
      <c r="I943" s="15" t="str">
        <f t="shared" si="15"/>
        <v/>
      </c>
      <c r="J943" s="16" t="str">
        <f>IF(B943="","",IF(OR(F943="",G943=""),"IC",VLOOKUP(I943,Scale[],2,1)))</f>
        <v/>
      </c>
    </row>
    <row r="944" spans="1:10" x14ac:dyDescent="0.35">
      <c r="A944" s="34"/>
      <c r="B944" s="35"/>
      <c r="C944" s="34"/>
      <c r="D944" s="34"/>
      <c r="E944" s="34"/>
      <c r="F944" s="46"/>
      <c r="G944" s="46"/>
      <c r="H944" s="14" t="str">
        <f>IF(Assessment_Sheet[[#This Row],[NAME ]]="","",ROUND((G944/60*40),0))</f>
        <v/>
      </c>
      <c r="I944" s="15" t="str">
        <f t="shared" si="15"/>
        <v/>
      </c>
      <c r="J944" s="16" t="str">
        <f>IF(B944="","",IF(OR(F944="",G944=""),"IC",VLOOKUP(I944,Scale[],2,1)))</f>
        <v/>
      </c>
    </row>
    <row r="945" spans="1:10" x14ac:dyDescent="0.35">
      <c r="A945" s="34"/>
      <c r="B945" s="35"/>
      <c r="C945" s="34"/>
      <c r="D945" s="34"/>
      <c r="E945" s="34"/>
      <c r="F945" s="46"/>
      <c r="G945" s="46"/>
      <c r="H945" s="14" t="str">
        <f>IF(Assessment_Sheet[[#This Row],[NAME ]]="","",ROUND((G945/60*40),0))</f>
        <v/>
      </c>
      <c r="I945" s="15" t="str">
        <f t="shared" si="15"/>
        <v/>
      </c>
      <c r="J945" s="16" t="str">
        <f>IF(B945="","",IF(OR(F945="",G945=""),"IC",VLOOKUP(I945,Scale[],2,1)))</f>
        <v/>
      </c>
    </row>
    <row r="946" spans="1:10" x14ac:dyDescent="0.35">
      <c r="A946" s="34"/>
      <c r="B946" s="35"/>
      <c r="C946" s="34"/>
      <c r="D946" s="34"/>
      <c r="E946" s="34"/>
      <c r="F946" s="46"/>
      <c r="G946" s="46"/>
      <c r="H946" s="14" t="str">
        <f>IF(Assessment_Sheet[[#This Row],[NAME ]]="","",ROUND((G946/60*40),0))</f>
        <v/>
      </c>
      <c r="I946" s="15" t="str">
        <f t="shared" si="15"/>
        <v/>
      </c>
      <c r="J946" s="16" t="str">
        <f>IF(B946="","",IF(OR(F946="",G946=""),"IC",VLOOKUP(I946,Scale[],2,1)))</f>
        <v/>
      </c>
    </row>
    <row r="947" spans="1:10" x14ac:dyDescent="0.35">
      <c r="A947" s="34"/>
      <c r="B947" s="35"/>
      <c r="C947" s="34"/>
      <c r="D947" s="34"/>
      <c r="E947" s="34"/>
      <c r="F947" s="46"/>
      <c r="G947" s="46"/>
      <c r="H947" s="14" t="str">
        <f>IF(Assessment_Sheet[[#This Row],[NAME ]]="","",ROUND((G947/60*40),0))</f>
        <v/>
      </c>
      <c r="I947" s="15" t="str">
        <f t="shared" si="15"/>
        <v/>
      </c>
      <c r="J947" s="16" t="str">
        <f>IF(B947="","",IF(OR(F947="",G947=""),"IC",VLOOKUP(I947,Scale[],2,1)))</f>
        <v/>
      </c>
    </row>
    <row r="948" spans="1:10" x14ac:dyDescent="0.35">
      <c r="A948" s="34"/>
      <c r="B948" s="35"/>
      <c r="C948" s="34"/>
      <c r="D948" s="34"/>
      <c r="E948" s="34"/>
      <c r="F948" s="46"/>
      <c r="G948" s="46"/>
      <c r="H948" s="14" t="str">
        <f>IF(Assessment_Sheet[[#This Row],[NAME ]]="","",ROUND((G948/60*40),0))</f>
        <v/>
      </c>
      <c r="I948" s="15" t="str">
        <f t="shared" si="15"/>
        <v/>
      </c>
      <c r="J948" s="16" t="str">
        <f>IF(B948="","",IF(OR(F948="",G948=""),"IC",VLOOKUP(I948,Scale[],2,1)))</f>
        <v/>
      </c>
    </row>
    <row r="949" spans="1:10" x14ac:dyDescent="0.35">
      <c r="A949" s="34"/>
      <c r="B949" s="35"/>
      <c r="C949" s="34"/>
      <c r="D949" s="34"/>
      <c r="E949" s="34"/>
      <c r="F949" s="46"/>
      <c r="G949" s="46"/>
      <c r="H949" s="14" t="str">
        <f>IF(Assessment_Sheet[[#This Row],[NAME ]]="","",ROUND((G949/60*40),0))</f>
        <v/>
      </c>
      <c r="I949" s="15" t="str">
        <f t="shared" si="15"/>
        <v/>
      </c>
      <c r="J949" s="16" t="str">
        <f>IF(B949="","",IF(OR(F949="",G949=""),"IC",VLOOKUP(I949,Scale[],2,1)))</f>
        <v/>
      </c>
    </row>
    <row r="950" spans="1:10" x14ac:dyDescent="0.35">
      <c r="A950" s="34"/>
      <c r="B950" s="35"/>
      <c r="C950" s="34"/>
      <c r="D950" s="34"/>
      <c r="E950" s="34"/>
      <c r="F950" s="46"/>
      <c r="G950" s="46"/>
      <c r="H950" s="14" t="str">
        <f>IF(Assessment_Sheet[[#This Row],[NAME ]]="","",ROUND((G950/60*40),0))</f>
        <v/>
      </c>
      <c r="I950" s="15" t="str">
        <f t="shared" si="15"/>
        <v/>
      </c>
      <c r="J950" s="16" t="str">
        <f>IF(B950="","",IF(OR(F950="",G950=""),"IC",VLOOKUP(I950,Scale[],2,1)))</f>
        <v/>
      </c>
    </row>
    <row r="951" spans="1:10" x14ac:dyDescent="0.35">
      <c r="A951" s="34"/>
      <c r="B951" s="35"/>
      <c r="C951" s="34"/>
      <c r="D951" s="34"/>
      <c r="E951" s="34"/>
      <c r="F951" s="46"/>
      <c r="G951" s="46"/>
      <c r="H951" s="14" t="str">
        <f>IF(Assessment_Sheet[[#This Row],[NAME ]]="","",ROUND((G951/60*40),0))</f>
        <v/>
      </c>
      <c r="I951" s="15" t="str">
        <f t="shared" si="15"/>
        <v/>
      </c>
      <c r="J951" s="16" t="str">
        <f>IF(B951="","",IF(OR(F951="",G951=""),"IC",VLOOKUP(I951,Scale[],2,1)))</f>
        <v/>
      </c>
    </row>
    <row r="952" spans="1:10" x14ac:dyDescent="0.35">
      <c r="A952" s="34"/>
      <c r="B952" s="35"/>
      <c r="C952" s="34"/>
      <c r="D952" s="34"/>
      <c r="E952" s="34"/>
      <c r="F952" s="46"/>
      <c r="G952" s="46"/>
      <c r="H952" s="14" t="str">
        <f>IF(Assessment_Sheet[[#This Row],[NAME ]]="","",ROUND((G952/60*40),0))</f>
        <v/>
      </c>
      <c r="I952" s="15" t="str">
        <f t="shared" si="15"/>
        <v/>
      </c>
      <c r="J952" s="16" t="str">
        <f>IF(B952="","",IF(OR(F952="",G952=""),"IC",VLOOKUP(I952,Scale[],2,1)))</f>
        <v/>
      </c>
    </row>
    <row r="953" spans="1:10" x14ac:dyDescent="0.35">
      <c r="A953" s="34"/>
      <c r="B953" s="35"/>
      <c r="C953" s="34"/>
      <c r="D953" s="34"/>
      <c r="E953" s="34"/>
      <c r="F953" s="46"/>
      <c r="G953" s="46"/>
      <c r="H953" s="14" t="str">
        <f>IF(Assessment_Sheet[[#This Row],[NAME ]]="","",ROUND((G953/60*40),0))</f>
        <v/>
      </c>
      <c r="I953" s="15" t="str">
        <f t="shared" si="15"/>
        <v/>
      </c>
      <c r="J953" s="16" t="str">
        <f>IF(B953="","",IF(OR(F953="",G953=""),"IC",VLOOKUP(I953,Scale[],2,1)))</f>
        <v/>
      </c>
    </row>
    <row r="954" spans="1:10" x14ac:dyDescent="0.35">
      <c r="A954" s="34"/>
      <c r="B954" s="35"/>
      <c r="C954" s="34"/>
      <c r="D954" s="34"/>
      <c r="E954" s="34"/>
      <c r="F954" s="46"/>
      <c r="G954" s="46"/>
      <c r="H954" s="14" t="str">
        <f>IF(Assessment_Sheet[[#This Row],[NAME ]]="","",ROUND((G954/60*40),0))</f>
        <v/>
      </c>
      <c r="I954" s="15" t="str">
        <f t="shared" si="15"/>
        <v/>
      </c>
      <c r="J954" s="16" t="str">
        <f>IF(B954="","",IF(OR(F954="",G954=""),"IC",VLOOKUP(I954,Scale[],2,1)))</f>
        <v/>
      </c>
    </row>
    <row r="955" spans="1:10" x14ac:dyDescent="0.35">
      <c r="A955" s="34"/>
      <c r="B955" s="35"/>
      <c r="C955" s="34"/>
      <c r="D955" s="34"/>
      <c r="E955" s="34"/>
      <c r="F955" s="46"/>
      <c r="G955" s="46"/>
      <c r="H955" s="14" t="str">
        <f>IF(Assessment_Sheet[[#This Row],[NAME ]]="","",ROUND((G955/60*40),0))</f>
        <v/>
      </c>
      <c r="I955" s="15" t="str">
        <f t="shared" si="15"/>
        <v/>
      </c>
      <c r="J955" s="16" t="str">
        <f>IF(B955="","",IF(OR(F955="",G955=""),"IC",VLOOKUP(I955,Scale[],2,1)))</f>
        <v/>
      </c>
    </row>
    <row r="956" spans="1:10" x14ac:dyDescent="0.35">
      <c r="A956" s="34"/>
      <c r="B956" s="35"/>
      <c r="C956" s="34"/>
      <c r="D956" s="34"/>
      <c r="E956" s="34"/>
      <c r="F956" s="46"/>
      <c r="G956" s="46"/>
      <c r="H956" s="14" t="str">
        <f>IF(Assessment_Sheet[[#This Row],[NAME ]]="","",ROUND((G956/60*40),0))</f>
        <v/>
      </c>
      <c r="I956" s="15" t="str">
        <f t="shared" si="15"/>
        <v/>
      </c>
      <c r="J956" s="16" t="str">
        <f>IF(B956="","",IF(OR(F956="",G956=""),"IC",VLOOKUP(I956,Scale[],2,1)))</f>
        <v/>
      </c>
    </row>
    <row r="957" spans="1:10" x14ac:dyDescent="0.35">
      <c r="A957" s="34"/>
      <c r="B957" s="35"/>
      <c r="C957" s="34"/>
      <c r="D957" s="34"/>
      <c r="E957" s="34"/>
      <c r="F957" s="46"/>
      <c r="G957" s="46"/>
      <c r="H957" s="14" t="str">
        <f>IF(Assessment_Sheet[[#This Row],[NAME ]]="","",ROUND((G957/60*40),0))</f>
        <v/>
      </c>
      <c r="I957" s="15" t="str">
        <f t="shared" si="15"/>
        <v/>
      </c>
      <c r="J957" s="16" t="str">
        <f>IF(B957="","",IF(OR(F957="",G957=""),"IC",VLOOKUP(I957,Scale[],2,1)))</f>
        <v/>
      </c>
    </row>
    <row r="958" spans="1:10" x14ac:dyDescent="0.35">
      <c r="A958" s="34"/>
      <c r="B958" s="35"/>
      <c r="C958" s="34"/>
      <c r="D958" s="34"/>
      <c r="E958" s="34"/>
      <c r="F958" s="46"/>
      <c r="G958" s="46"/>
      <c r="H958" s="14" t="str">
        <f>IF(Assessment_Sheet[[#This Row],[NAME ]]="","",ROUND((G958/60*40),0))</f>
        <v/>
      </c>
      <c r="I958" s="15" t="str">
        <f t="shared" si="15"/>
        <v/>
      </c>
      <c r="J958" s="16" t="str">
        <f>IF(B958="","",IF(OR(F958="",G958=""),"IC",VLOOKUP(I958,Scale[],2,1)))</f>
        <v/>
      </c>
    </row>
    <row r="959" spans="1:10" x14ac:dyDescent="0.35">
      <c r="A959" s="34"/>
      <c r="B959" s="35"/>
      <c r="C959" s="34"/>
      <c r="D959" s="34"/>
      <c r="E959" s="34"/>
      <c r="F959" s="46"/>
      <c r="G959" s="46"/>
      <c r="H959" s="14" t="str">
        <f>IF(Assessment_Sheet[[#This Row],[NAME ]]="","",ROUND((G959/60*40),0))</f>
        <v/>
      </c>
      <c r="I959" s="15" t="str">
        <f t="shared" si="15"/>
        <v/>
      </c>
      <c r="J959" s="16" t="str">
        <f>IF(B959="","",IF(OR(F959="",G959=""),"IC",VLOOKUP(I959,Scale[],2,1)))</f>
        <v/>
      </c>
    </row>
    <row r="960" spans="1:10" x14ac:dyDescent="0.35">
      <c r="A960" s="34"/>
      <c r="B960" s="35"/>
      <c r="C960" s="34"/>
      <c r="D960" s="34"/>
      <c r="E960" s="34"/>
      <c r="F960" s="46"/>
      <c r="G960" s="46"/>
      <c r="H960" s="14" t="str">
        <f>IF(Assessment_Sheet[[#This Row],[NAME ]]="","",ROUND((G960/60*40),0))</f>
        <v/>
      </c>
      <c r="I960" s="15" t="str">
        <f t="shared" si="15"/>
        <v/>
      </c>
      <c r="J960" s="16" t="str">
        <f>IF(B960="","",IF(OR(F960="",G960=""),"IC",VLOOKUP(I960,Scale[],2,1)))</f>
        <v/>
      </c>
    </row>
    <row r="961" spans="1:10" x14ac:dyDescent="0.35">
      <c r="A961" s="34"/>
      <c r="B961" s="35"/>
      <c r="C961" s="34"/>
      <c r="D961" s="34"/>
      <c r="E961" s="34"/>
      <c r="F961" s="46"/>
      <c r="G961" s="46"/>
      <c r="H961" s="14" t="str">
        <f>IF(Assessment_Sheet[[#This Row],[NAME ]]="","",ROUND((G961/60*40),0))</f>
        <v/>
      </c>
      <c r="I961" s="15" t="str">
        <f t="shared" si="15"/>
        <v/>
      </c>
      <c r="J961" s="16" t="str">
        <f>IF(B961="","",IF(OR(F961="",G961=""),"IC",VLOOKUP(I961,Scale[],2,1)))</f>
        <v/>
      </c>
    </row>
    <row r="962" spans="1:10" x14ac:dyDescent="0.35">
      <c r="A962" s="34"/>
      <c r="B962" s="35"/>
      <c r="C962" s="34"/>
      <c r="D962" s="34"/>
      <c r="E962" s="34"/>
      <c r="F962" s="46"/>
      <c r="G962" s="46"/>
      <c r="H962" s="14" t="str">
        <f>IF(Assessment_Sheet[[#This Row],[NAME ]]="","",ROUND((G962/60*40),0))</f>
        <v/>
      </c>
      <c r="I962" s="15" t="str">
        <f t="shared" si="15"/>
        <v/>
      </c>
      <c r="J962" s="16" t="str">
        <f>IF(B962="","",IF(OR(F962="",G962=""),"IC",VLOOKUP(I962,Scale[],2,1)))</f>
        <v/>
      </c>
    </row>
    <row r="963" spans="1:10" x14ac:dyDescent="0.35">
      <c r="A963" s="34"/>
      <c r="B963" s="35"/>
      <c r="C963" s="34"/>
      <c r="D963" s="34"/>
      <c r="E963" s="34"/>
      <c r="F963" s="46"/>
      <c r="G963" s="46"/>
      <c r="H963" s="14" t="str">
        <f>IF(Assessment_Sheet[[#This Row],[NAME ]]="","",ROUND((G963/60*40),0))</f>
        <v/>
      </c>
      <c r="I963" s="15" t="str">
        <f t="shared" si="15"/>
        <v/>
      </c>
      <c r="J963" s="16" t="str">
        <f>IF(B963="","",IF(OR(F963="",G963=""),"IC",VLOOKUP(I963,Scale[],2,1)))</f>
        <v/>
      </c>
    </row>
    <row r="964" spans="1:10" x14ac:dyDescent="0.35">
      <c r="A964" s="34"/>
      <c r="B964" s="35"/>
      <c r="C964" s="34"/>
      <c r="D964" s="34"/>
      <c r="E964" s="34"/>
      <c r="F964" s="46"/>
      <c r="G964" s="46"/>
      <c r="H964" s="14" t="str">
        <f>IF(Assessment_Sheet[[#This Row],[NAME ]]="","",ROUND((G964/60*40),0))</f>
        <v/>
      </c>
      <c r="I964" s="15" t="str">
        <f t="shared" si="15"/>
        <v/>
      </c>
      <c r="J964" s="16" t="str">
        <f>IF(B964="","",IF(OR(F964="",G964=""),"IC",VLOOKUP(I964,Scale[],2,1)))</f>
        <v/>
      </c>
    </row>
    <row r="965" spans="1:10" x14ac:dyDescent="0.35">
      <c r="A965" s="34"/>
      <c r="B965" s="35"/>
      <c r="C965" s="34"/>
      <c r="D965" s="34"/>
      <c r="E965" s="34"/>
      <c r="F965" s="46"/>
      <c r="G965" s="46"/>
      <c r="H965" s="14" t="str">
        <f>IF(Assessment_Sheet[[#This Row],[NAME ]]="","",ROUND((G965/60*40),0))</f>
        <v/>
      </c>
      <c r="I965" s="15" t="str">
        <f t="shared" si="15"/>
        <v/>
      </c>
      <c r="J965" s="16" t="str">
        <f>IF(B965="","",IF(OR(F965="",G965=""),"IC",VLOOKUP(I965,Scale[],2,1)))</f>
        <v/>
      </c>
    </row>
    <row r="966" spans="1:10" x14ac:dyDescent="0.35">
      <c r="A966" s="34"/>
      <c r="B966" s="35"/>
      <c r="C966" s="34"/>
      <c r="D966" s="34"/>
      <c r="E966" s="34"/>
      <c r="F966" s="46"/>
      <c r="G966" s="46"/>
      <c r="H966" s="14" t="str">
        <f>IF(Assessment_Sheet[[#This Row],[NAME ]]="","",ROUND((G966/60*40),0))</f>
        <v/>
      </c>
      <c r="I966" s="15" t="str">
        <f t="shared" si="15"/>
        <v/>
      </c>
      <c r="J966" s="16" t="str">
        <f>IF(B966="","",IF(OR(F966="",G966=""),"IC",VLOOKUP(I966,Scale[],2,1)))</f>
        <v/>
      </c>
    </row>
    <row r="967" spans="1:10" x14ac:dyDescent="0.35">
      <c r="A967" s="34"/>
      <c r="B967" s="35"/>
      <c r="C967" s="34"/>
      <c r="D967" s="34"/>
      <c r="E967" s="34"/>
      <c r="F967" s="46"/>
      <c r="G967" s="46"/>
      <c r="H967" s="14" t="str">
        <f>IF(Assessment_Sheet[[#This Row],[NAME ]]="","",ROUND((G967/60*40),0))</f>
        <v/>
      </c>
      <c r="I967" s="15" t="str">
        <f t="shared" si="15"/>
        <v/>
      </c>
      <c r="J967" s="16" t="str">
        <f>IF(B967="","",IF(OR(F967="",G967=""),"IC",VLOOKUP(I967,Scale[],2,1)))</f>
        <v/>
      </c>
    </row>
    <row r="968" spans="1:10" x14ac:dyDescent="0.35">
      <c r="A968" s="34"/>
      <c r="B968" s="35"/>
      <c r="C968" s="34"/>
      <c r="D968" s="34"/>
      <c r="E968" s="34"/>
      <c r="F968" s="46"/>
      <c r="G968" s="46"/>
      <c r="H968" s="14" t="str">
        <f>IF(Assessment_Sheet[[#This Row],[NAME ]]="","",ROUND((G968/60*40),0))</f>
        <v/>
      </c>
      <c r="I968" s="15" t="str">
        <f t="shared" ref="I968:I1031" si="16">IFERROR(ROUND((F968+H968),0),"")</f>
        <v/>
      </c>
      <c r="J968" s="16" t="str">
        <f>IF(B968="","",IF(OR(F968="",G968=""),"IC",VLOOKUP(I968,Scale[],2,1)))</f>
        <v/>
      </c>
    </row>
    <row r="969" spans="1:10" x14ac:dyDescent="0.35">
      <c r="A969" s="34"/>
      <c r="B969" s="35"/>
      <c r="C969" s="34"/>
      <c r="D969" s="34"/>
      <c r="E969" s="34"/>
      <c r="F969" s="46"/>
      <c r="G969" s="46"/>
      <c r="H969" s="14" t="str">
        <f>IF(Assessment_Sheet[[#This Row],[NAME ]]="","",ROUND((G969/60*40),0))</f>
        <v/>
      </c>
      <c r="I969" s="15" t="str">
        <f t="shared" si="16"/>
        <v/>
      </c>
      <c r="J969" s="16" t="str">
        <f>IF(B969="","",IF(OR(F969="",G969=""),"IC",VLOOKUP(I969,Scale[],2,1)))</f>
        <v/>
      </c>
    </row>
    <row r="970" spans="1:10" x14ac:dyDescent="0.35">
      <c r="A970" s="34"/>
      <c r="B970" s="35"/>
      <c r="C970" s="34"/>
      <c r="D970" s="34"/>
      <c r="E970" s="34"/>
      <c r="F970" s="46"/>
      <c r="G970" s="46"/>
      <c r="H970" s="14" t="str">
        <f>IF(Assessment_Sheet[[#This Row],[NAME ]]="","",ROUND((G970/60*40),0))</f>
        <v/>
      </c>
      <c r="I970" s="15" t="str">
        <f t="shared" si="16"/>
        <v/>
      </c>
      <c r="J970" s="16" t="str">
        <f>IF(B970="","",IF(OR(F970="",G970=""),"IC",VLOOKUP(I970,Scale[],2,1)))</f>
        <v/>
      </c>
    </row>
    <row r="971" spans="1:10" x14ac:dyDescent="0.35">
      <c r="A971" s="34"/>
      <c r="B971" s="35"/>
      <c r="C971" s="34"/>
      <c r="D971" s="34"/>
      <c r="E971" s="34"/>
      <c r="F971" s="46"/>
      <c r="G971" s="46"/>
      <c r="H971" s="14" t="str">
        <f>IF(Assessment_Sheet[[#This Row],[NAME ]]="","",ROUND((G971/60*40),0))</f>
        <v/>
      </c>
      <c r="I971" s="15" t="str">
        <f t="shared" si="16"/>
        <v/>
      </c>
      <c r="J971" s="16" t="str">
        <f>IF(B971="","",IF(OR(F971="",G971=""),"IC",VLOOKUP(I971,Scale[],2,1)))</f>
        <v/>
      </c>
    </row>
    <row r="972" spans="1:10" x14ac:dyDescent="0.35">
      <c r="A972" s="34"/>
      <c r="B972" s="35"/>
      <c r="C972" s="34"/>
      <c r="D972" s="34"/>
      <c r="E972" s="34"/>
      <c r="F972" s="46"/>
      <c r="G972" s="46"/>
      <c r="H972" s="14" t="str">
        <f>IF(Assessment_Sheet[[#This Row],[NAME ]]="","",ROUND((G972/60*40),0))</f>
        <v/>
      </c>
      <c r="I972" s="15" t="str">
        <f t="shared" si="16"/>
        <v/>
      </c>
      <c r="J972" s="16" t="str">
        <f>IF(B972="","",IF(OR(F972="",G972=""),"IC",VLOOKUP(I972,Scale[],2,1)))</f>
        <v/>
      </c>
    </row>
    <row r="973" spans="1:10" x14ac:dyDescent="0.35">
      <c r="A973" s="34"/>
      <c r="B973" s="35"/>
      <c r="C973" s="34"/>
      <c r="D973" s="34"/>
      <c r="E973" s="34"/>
      <c r="F973" s="46"/>
      <c r="G973" s="46"/>
      <c r="H973" s="14" t="str">
        <f>IF(Assessment_Sheet[[#This Row],[NAME ]]="","",ROUND((G973/60*40),0))</f>
        <v/>
      </c>
      <c r="I973" s="15" t="str">
        <f t="shared" si="16"/>
        <v/>
      </c>
      <c r="J973" s="16" t="str">
        <f>IF(B973="","",IF(OR(F973="",G973=""),"IC",VLOOKUP(I973,Scale[],2,1)))</f>
        <v/>
      </c>
    </row>
    <row r="974" spans="1:10" x14ac:dyDescent="0.35">
      <c r="A974" s="34"/>
      <c r="B974" s="35"/>
      <c r="C974" s="34"/>
      <c r="D974" s="34"/>
      <c r="E974" s="34"/>
      <c r="F974" s="46"/>
      <c r="G974" s="46"/>
      <c r="H974" s="14" t="str">
        <f>IF(Assessment_Sheet[[#This Row],[NAME ]]="","",ROUND((G974/60*40),0))</f>
        <v/>
      </c>
      <c r="I974" s="15" t="str">
        <f t="shared" si="16"/>
        <v/>
      </c>
      <c r="J974" s="16" t="str">
        <f>IF(B974="","",IF(OR(F974="",G974=""),"IC",VLOOKUP(I974,Scale[],2,1)))</f>
        <v/>
      </c>
    </row>
    <row r="975" spans="1:10" x14ac:dyDescent="0.35">
      <c r="A975" s="34"/>
      <c r="B975" s="35"/>
      <c r="C975" s="34"/>
      <c r="D975" s="34"/>
      <c r="E975" s="34"/>
      <c r="F975" s="46"/>
      <c r="G975" s="46"/>
      <c r="H975" s="14" t="str">
        <f>IF(Assessment_Sheet[[#This Row],[NAME ]]="","",ROUND((G975/60*40),0))</f>
        <v/>
      </c>
      <c r="I975" s="15" t="str">
        <f t="shared" si="16"/>
        <v/>
      </c>
      <c r="J975" s="16" t="str">
        <f>IF(B975="","",IF(OR(F975="",G975=""),"IC",VLOOKUP(I975,Scale[],2,1)))</f>
        <v/>
      </c>
    </row>
    <row r="976" spans="1:10" x14ac:dyDescent="0.35">
      <c r="A976" s="34"/>
      <c r="B976" s="35"/>
      <c r="C976" s="34"/>
      <c r="D976" s="34"/>
      <c r="E976" s="34"/>
      <c r="F976" s="46"/>
      <c r="G976" s="46"/>
      <c r="H976" s="14" t="str">
        <f>IF(Assessment_Sheet[[#This Row],[NAME ]]="","",ROUND((G976/60*40),0))</f>
        <v/>
      </c>
      <c r="I976" s="15" t="str">
        <f t="shared" si="16"/>
        <v/>
      </c>
      <c r="J976" s="16" t="str">
        <f>IF(B976="","",IF(OR(F976="",G976=""),"IC",VLOOKUP(I976,Scale[],2,1)))</f>
        <v/>
      </c>
    </row>
    <row r="977" spans="1:10" x14ac:dyDescent="0.35">
      <c r="A977" s="34"/>
      <c r="B977" s="35"/>
      <c r="C977" s="34"/>
      <c r="D977" s="34"/>
      <c r="E977" s="34"/>
      <c r="F977" s="46"/>
      <c r="G977" s="46"/>
      <c r="H977" s="14" t="str">
        <f>IF(Assessment_Sheet[[#This Row],[NAME ]]="","",ROUND((G977/60*40),0))</f>
        <v/>
      </c>
      <c r="I977" s="15" t="str">
        <f t="shared" si="16"/>
        <v/>
      </c>
      <c r="J977" s="16" t="str">
        <f>IF(B977="","",IF(OR(F977="",G977=""),"IC",VLOOKUP(I977,Scale[],2,1)))</f>
        <v/>
      </c>
    </row>
    <row r="978" spans="1:10" x14ac:dyDescent="0.35">
      <c r="A978" s="34"/>
      <c r="B978" s="35"/>
      <c r="C978" s="34"/>
      <c r="D978" s="34"/>
      <c r="E978" s="34"/>
      <c r="F978" s="46"/>
      <c r="G978" s="46"/>
      <c r="H978" s="14" t="str">
        <f>IF(Assessment_Sheet[[#This Row],[NAME ]]="","",ROUND((G978/60*40),0))</f>
        <v/>
      </c>
      <c r="I978" s="15" t="str">
        <f t="shared" si="16"/>
        <v/>
      </c>
      <c r="J978" s="16" t="str">
        <f>IF(B978="","",IF(OR(F978="",G978=""),"IC",VLOOKUP(I978,Scale[],2,1)))</f>
        <v/>
      </c>
    </row>
    <row r="979" spans="1:10" x14ac:dyDescent="0.35">
      <c r="A979" s="34"/>
      <c r="B979" s="35"/>
      <c r="C979" s="34"/>
      <c r="D979" s="34"/>
      <c r="E979" s="34"/>
      <c r="F979" s="46"/>
      <c r="G979" s="46"/>
      <c r="H979" s="14" t="str">
        <f>IF(Assessment_Sheet[[#This Row],[NAME ]]="","",ROUND((G979/60*40),0))</f>
        <v/>
      </c>
      <c r="I979" s="15" t="str">
        <f t="shared" si="16"/>
        <v/>
      </c>
      <c r="J979" s="16" t="str">
        <f>IF(B979="","",IF(OR(F979="",G979=""),"IC",VLOOKUP(I979,Scale[],2,1)))</f>
        <v/>
      </c>
    </row>
    <row r="980" spans="1:10" x14ac:dyDescent="0.35">
      <c r="A980" s="34"/>
      <c r="B980" s="35"/>
      <c r="C980" s="34"/>
      <c r="D980" s="34"/>
      <c r="E980" s="34"/>
      <c r="F980" s="46"/>
      <c r="G980" s="46"/>
      <c r="H980" s="14" t="str">
        <f>IF(Assessment_Sheet[[#This Row],[NAME ]]="","",ROUND((G980/60*40),0))</f>
        <v/>
      </c>
      <c r="I980" s="15" t="str">
        <f t="shared" si="16"/>
        <v/>
      </c>
      <c r="J980" s="16" t="str">
        <f>IF(B980="","",IF(OR(F980="",G980=""),"IC",VLOOKUP(I980,Scale[],2,1)))</f>
        <v/>
      </c>
    </row>
    <row r="981" spans="1:10" x14ac:dyDescent="0.35">
      <c r="A981" s="34"/>
      <c r="B981" s="35"/>
      <c r="C981" s="34"/>
      <c r="D981" s="34"/>
      <c r="E981" s="34"/>
      <c r="F981" s="46"/>
      <c r="G981" s="46"/>
      <c r="H981" s="14" t="str">
        <f>IF(Assessment_Sheet[[#This Row],[NAME ]]="","",ROUND((G981/60*40),0))</f>
        <v/>
      </c>
      <c r="I981" s="15" t="str">
        <f t="shared" si="16"/>
        <v/>
      </c>
      <c r="J981" s="16" t="str">
        <f>IF(B981="","",IF(OR(F981="",G981=""),"IC",VLOOKUP(I981,Scale[],2,1)))</f>
        <v/>
      </c>
    </row>
    <row r="982" spans="1:10" x14ac:dyDescent="0.35">
      <c r="A982" s="34"/>
      <c r="B982" s="35"/>
      <c r="C982" s="34"/>
      <c r="D982" s="34"/>
      <c r="E982" s="34"/>
      <c r="F982" s="46"/>
      <c r="G982" s="46"/>
      <c r="H982" s="14" t="str">
        <f>IF(Assessment_Sheet[[#This Row],[NAME ]]="","",ROUND((G982/60*40),0))</f>
        <v/>
      </c>
      <c r="I982" s="15" t="str">
        <f t="shared" si="16"/>
        <v/>
      </c>
      <c r="J982" s="16" t="str">
        <f>IF(B982="","",IF(OR(F982="",G982=""),"IC",VLOOKUP(I982,Scale[],2,1)))</f>
        <v/>
      </c>
    </row>
    <row r="983" spans="1:10" x14ac:dyDescent="0.35">
      <c r="A983" s="34"/>
      <c r="B983" s="35"/>
      <c r="C983" s="34"/>
      <c r="D983" s="34"/>
      <c r="E983" s="34"/>
      <c r="F983" s="46"/>
      <c r="G983" s="46"/>
      <c r="H983" s="14" t="str">
        <f>IF(Assessment_Sheet[[#This Row],[NAME ]]="","",ROUND((G983/60*40),0))</f>
        <v/>
      </c>
      <c r="I983" s="15" t="str">
        <f t="shared" si="16"/>
        <v/>
      </c>
      <c r="J983" s="16" t="str">
        <f>IF(B983="","",IF(OR(F983="",G983=""),"IC",VLOOKUP(I983,Scale[],2,1)))</f>
        <v/>
      </c>
    </row>
    <row r="984" spans="1:10" x14ac:dyDescent="0.35">
      <c r="A984" s="34"/>
      <c r="B984" s="35"/>
      <c r="C984" s="34"/>
      <c r="D984" s="34"/>
      <c r="E984" s="34"/>
      <c r="F984" s="46"/>
      <c r="G984" s="46"/>
      <c r="H984" s="14" t="str">
        <f>IF(Assessment_Sheet[[#This Row],[NAME ]]="","",ROUND((G984/60*40),0))</f>
        <v/>
      </c>
      <c r="I984" s="15" t="str">
        <f t="shared" si="16"/>
        <v/>
      </c>
      <c r="J984" s="16" t="str">
        <f>IF(B984="","",IF(OR(F984="",G984=""),"IC",VLOOKUP(I984,Scale[],2,1)))</f>
        <v/>
      </c>
    </row>
    <row r="985" spans="1:10" x14ac:dyDescent="0.35">
      <c r="A985" s="34"/>
      <c r="B985" s="35"/>
      <c r="C985" s="34"/>
      <c r="D985" s="34"/>
      <c r="E985" s="34"/>
      <c r="F985" s="46"/>
      <c r="G985" s="46"/>
      <c r="H985" s="14" t="str">
        <f>IF(Assessment_Sheet[[#This Row],[NAME ]]="","",ROUND((G985/60*40),0))</f>
        <v/>
      </c>
      <c r="I985" s="15" t="str">
        <f t="shared" si="16"/>
        <v/>
      </c>
      <c r="J985" s="16" t="str">
        <f>IF(B985="","",IF(OR(F985="",G985=""),"IC",VLOOKUP(I985,Scale[],2,1)))</f>
        <v/>
      </c>
    </row>
    <row r="986" spans="1:10" x14ac:dyDescent="0.35">
      <c r="A986" s="34"/>
      <c r="B986" s="35"/>
      <c r="C986" s="34"/>
      <c r="D986" s="34"/>
      <c r="E986" s="34"/>
      <c r="F986" s="46"/>
      <c r="G986" s="46"/>
      <c r="H986" s="14" t="str">
        <f>IF(Assessment_Sheet[[#This Row],[NAME ]]="","",ROUND((G986/60*40),0))</f>
        <v/>
      </c>
      <c r="I986" s="15" t="str">
        <f t="shared" si="16"/>
        <v/>
      </c>
      <c r="J986" s="16" t="str">
        <f>IF(B986="","",IF(OR(F986="",G986=""),"IC",VLOOKUP(I986,Scale[],2,1)))</f>
        <v/>
      </c>
    </row>
    <row r="987" spans="1:10" x14ac:dyDescent="0.35">
      <c r="A987" s="34"/>
      <c r="B987" s="35"/>
      <c r="C987" s="34"/>
      <c r="D987" s="34"/>
      <c r="E987" s="34"/>
      <c r="F987" s="46"/>
      <c r="G987" s="46"/>
      <c r="H987" s="14" t="str">
        <f>IF(Assessment_Sheet[[#This Row],[NAME ]]="","",ROUND((G987/60*40),0))</f>
        <v/>
      </c>
      <c r="I987" s="15" t="str">
        <f t="shared" si="16"/>
        <v/>
      </c>
      <c r="J987" s="16" t="str">
        <f>IF(B987="","",IF(OR(F987="",G987=""),"IC",VLOOKUP(I987,Scale[],2,1)))</f>
        <v/>
      </c>
    </row>
    <row r="988" spans="1:10" x14ac:dyDescent="0.35">
      <c r="A988" s="34"/>
      <c r="B988" s="35"/>
      <c r="C988" s="34"/>
      <c r="D988" s="34"/>
      <c r="E988" s="34"/>
      <c r="F988" s="46"/>
      <c r="G988" s="46"/>
      <c r="H988" s="14" t="str">
        <f>IF(Assessment_Sheet[[#This Row],[NAME ]]="","",ROUND((G988/60*40),0))</f>
        <v/>
      </c>
      <c r="I988" s="15" t="str">
        <f t="shared" si="16"/>
        <v/>
      </c>
      <c r="J988" s="16" t="str">
        <f>IF(B988="","",IF(OR(F988="",G988=""),"IC",VLOOKUP(I988,Scale[],2,1)))</f>
        <v/>
      </c>
    </row>
    <row r="989" spans="1:10" x14ac:dyDescent="0.35">
      <c r="A989" s="34"/>
      <c r="B989" s="35"/>
      <c r="C989" s="34"/>
      <c r="D989" s="34"/>
      <c r="E989" s="34"/>
      <c r="F989" s="46"/>
      <c r="G989" s="46"/>
      <c r="H989" s="14" t="str">
        <f>IF(Assessment_Sheet[[#This Row],[NAME ]]="","",ROUND((G989/60*40),0))</f>
        <v/>
      </c>
      <c r="I989" s="15" t="str">
        <f t="shared" si="16"/>
        <v/>
      </c>
      <c r="J989" s="16" t="str">
        <f>IF(B989="","",IF(OR(F989="",G989=""),"IC",VLOOKUP(I989,Scale[],2,1)))</f>
        <v/>
      </c>
    </row>
    <row r="990" spans="1:10" x14ac:dyDescent="0.35">
      <c r="A990" s="34"/>
      <c r="B990" s="35"/>
      <c r="C990" s="34"/>
      <c r="D990" s="34"/>
      <c r="E990" s="34"/>
      <c r="F990" s="46"/>
      <c r="G990" s="46"/>
      <c r="H990" s="14" t="str">
        <f>IF(Assessment_Sheet[[#This Row],[NAME ]]="","",ROUND((G990/60*40),0))</f>
        <v/>
      </c>
      <c r="I990" s="15" t="str">
        <f t="shared" si="16"/>
        <v/>
      </c>
      <c r="J990" s="16" t="str">
        <f>IF(B990="","",IF(OR(F990="",G990=""),"IC",VLOOKUP(I990,Scale[],2,1)))</f>
        <v/>
      </c>
    </row>
    <row r="991" spans="1:10" x14ac:dyDescent="0.35">
      <c r="A991" s="34"/>
      <c r="B991" s="35"/>
      <c r="C991" s="34"/>
      <c r="D991" s="34"/>
      <c r="E991" s="34"/>
      <c r="F991" s="46"/>
      <c r="G991" s="46"/>
      <c r="H991" s="14" t="str">
        <f>IF(Assessment_Sheet[[#This Row],[NAME ]]="","",ROUND((G991/60*40),0))</f>
        <v/>
      </c>
      <c r="I991" s="15" t="str">
        <f t="shared" si="16"/>
        <v/>
      </c>
      <c r="J991" s="16" t="str">
        <f>IF(B991="","",IF(OR(F991="",G991=""),"IC",VLOOKUP(I991,Scale[],2,1)))</f>
        <v/>
      </c>
    </row>
    <row r="992" spans="1:10" x14ac:dyDescent="0.35">
      <c r="A992" s="34"/>
      <c r="B992" s="35"/>
      <c r="C992" s="34"/>
      <c r="D992" s="34"/>
      <c r="E992" s="34"/>
      <c r="F992" s="46"/>
      <c r="G992" s="46"/>
      <c r="H992" s="14" t="str">
        <f>IF(Assessment_Sheet[[#This Row],[NAME ]]="","",ROUND((G992/60*40),0))</f>
        <v/>
      </c>
      <c r="I992" s="15" t="str">
        <f t="shared" si="16"/>
        <v/>
      </c>
      <c r="J992" s="16" t="str">
        <f>IF(B992="","",IF(OR(F992="",G992=""),"IC",VLOOKUP(I992,Scale[],2,1)))</f>
        <v/>
      </c>
    </row>
    <row r="993" spans="1:10" x14ac:dyDescent="0.35">
      <c r="A993" s="34"/>
      <c r="B993" s="35"/>
      <c r="C993" s="34"/>
      <c r="D993" s="34"/>
      <c r="E993" s="34"/>
      <c r="F993" s="46"/>
      <c r="G993" s="46"/>
      <c r="H993" s="14" t="str">
        <f>IF(Assessment_Sheet[[#This Row],[NAME ]]="","",ROUND((G993/60*40),0))</f>
        <v/>
      </c>
      <c r="I993" s="15" t="str">
        <f t="shared" si="16"/>
        <v/>
      </c>
      <c r="J993" s="16" t="str">
        <f>IF(B993="","",IF(OR(F993="",G993=""),"IC",VLOOKUP(I993,Scale[],2,1)))</f>
        <v/>
      </c>
    </row>
    <row r="994" spans="1:10" x14ac:dyDescent="0.35">
      <c r="A994" s="34"/>
      <c r="B994" s="35"/>
      <c r="C994" s="34"/>
      <c r="D994" s="34"/>
      <c r="E994" s="34"/>
      <c r="F994" s="46"/>
      <c r="G994" s="46"/>
      <c r="H994" s="14" t="str">
        <f>IF(Assessment_Sheet[[#This Row],[NAME ]]="","",ROUND((G994/60*40),0))</f>
        <v/>
      </c>
      <c r="I994" s="15" t="str">
        <f t="shared" si="16"/>
        <v/>
      </c>
      <c r="J994" s="16" t="str">
        <f>IF(B994="","",IF(OR(F994="",G994=""),"IC",VLOOKUP(I994,Scale[],2,1)))</f>
        <v/>
      </c>
    </row>
    <row r="995" spans="1:10" x14ac:dyDescent="0.35">
      <c r="A995" s="34"/>
      <c r="B995" s="35"/>
      <c r="C995" s="34"/>
      <c r="D995" s="34"/>
      <c r="E995" s="34"/>
      <c r="F995" s="46"/>
      <c r="G995" s="46"/>
      <c r="H995" s="14" t="str">
        <f>IF(Assessment_Sheet[[#This Row],[NAME ]]="","",ROUND((G995/60*40),0))</f>
        <v/>
      </c>
      <c r="I995" s="15" t="str">
        <f t="shared" si="16"/>
        <v/>
      </c>
      <c r="J995" s="16" t="str">
        <f>IF(B995="","",IF(OR(F995="",G995=""),"IC",VLOOKUP(I995,Scale[],2,1)))</f>
        <v/>
      </c>
    </row>
    <row r="996" spans="1:10" x14ac:dyDescent="0.35">
      <c r="A996" s="34"/>
      <c r="B996" s="35"/>
      <c r="C996" s="34"/>
      <c r="D996" s="34"/>
      <c r="E996" s="34"/>
      <c r="F996" s="46"/>
      <c r="G996" s="46"/>
      <c r="H996" s="14" t="str">
        <f>IF(Assessment_Sheet[[#This Row],[NAME ]]="","",ROUND((G996/60*40),0))</f>
        <v/>
      </c>
      <c r="I996" s="15" t="str">
        <f t="shared" si="16"/>
        <v/>
      </c>
      <c r="J996" s="16" t="str">
        <f>IF(B996="","",IF(OR(F996="",G996=""),"IC",VLOOKUP(I996,Scale[],2,1)))</f>
        <v/>
      </c>
    </row>
    <row r="997" spans="1:10" x14ac:dyDescent="0.35">
      <c r="A997" s="34"/>
      <c r="B997" s="35"/>
      <c r="C997" s="34"/>
      <c r="D997" s="34"/>
      <c r="E997" s="34"/>
      <c r="F997" s="46"/>
      <c r="G997" s="46"/>
      <c r="H997" s="14" t="str">
        <f>IF(Assessment_Sheet[[#This Row],[NAME ]]="","",ROUND((G997/60*40),0))</f>
        <v/>
      </c>
      <c r="I997" s="15" t="str">
        <f t="shared" si="16"/>
        <v/>
      </c>
      <c r="J997" s="16" t="str">
        <f>IF(B997="","",IF(OR(F997="",G997=""),"IC",VLOOKUP(I997,Scale[],2,1)))</f>
        <v/>
      </c>
    </row>
    <row r="998" spans="1:10" x14ac:dyDescent="0.35">
      <c r="A998" s="34"/>
      <c r="B998" s="35"/>
      <c r="C998" s="34"/>
      <c r="D998" s="34"/>
      <c r="E998" s="34"/>
      <c r="F998" s="46"/>
      <c r="G998" s="46"/>
      <c r="H998" s="14" t="str">
        <f>IF(Assessment_Sheet[[#This Row],[NAME ]]="","",ROUND((G998/60*40),0))</f>
        <v/>
      </c>
      <c r="I998" s="15" t="str">
        <f t="shared" si="16"/>
        <v/>
      </c>
      <c r="J998" s="16" t="str">
        <f>IF(B998="","",IF(OR(F998="",G998=""),"IC",VLOOKUP(I998,Scale[],2,1)))</f>
        <v/>
      </c>
    </row>
    <row r="999" spans="1:10" x14ac:dyDescent="0.35">
      <c r="A999" s="34"/>
      <c r="B999" s="35"/>
      <c r="C999" s="34"/>
      <c r="D999" s="34"/>
      <c r="E999" s="34"/>
      <c r="F999" s="46"/>
      <c r="G999" s="46"/>
      <c r="H999" s="14" t="str">
        <f>IF(Assessment_Sheet[[#This Row],[NAME ]]="","",ROUND((G999/60*40),0))</f>
        <v/>
      </c>
      <c r="I999" s="15" t="str">
        <f t="shared" si="16"/>
        <v/>
      </c>
      <c r="J999" s="16" t="str">
        <f>IF(B999="","",IF(OR(F999="",G999=""),"IC",VLOOKUP(I999,Scale[],2,1)))</f>
        <v/>
      </c>
    </row>
    <row r="1000" spans="1:10" x14ac:dyDescent="0.35">
      <c r="A1000" s="34"/>
      <c r="B1000" s="35"/>
      <c r="C1000" s="34"/>
      <c r="D1000" s="34"/>
      <c r="E1000" s="34"/>
      <c r="F1000" s="46"/>
      <c r="G1000" s="46"/>
      <c r="H1000" s="14" t="str">
        <f>IF(Assessment_Sheet[[#This Row],[NAME ]]="","",ROUND((G1000/60*40),0))</f>
        <v/>
      </c>
      <c r="I1000" s="15" t="str">
        <f t="shared" si="16"/>
        <v/>
      </c>
      <c r="J1000" s="16" t="str">
        <f>IF(B1000="","",IF(OR(F1000="",G1000=""),"IC",VLOOKUP(I1000,Scale[],2,1)))</f>
        <v/>
      </c>
    </row>
    <row r="1001" spans="1:10" x14ac:dyDescent="0.35">
      <c r="A1001" s="34"/>
      <c r="B1001" s="35"/>
      <c r="C1001" s="34"/>
      <c r="D1001" s="34"/>
      <c r="E1001" s="34"/>
      <c r="F1001" s="46"/>
      <c r="G1001" s="46"/>
      <c r="H1001" s="14" t="str">
        <f>IF(Assessment_Sheet[[#This Row],[NAME ]]="","",ROUND((G1001/60*40),0))</f>
        <v/>
      </c>
      <c r="I1001" s="15" t="str">
        <f t="shared" si="16"/>
        <v/>
      </c>
      <c r="J1001" s="16" t="str">
        <f>IF(B1001="","",IF(OR(F1001="",G1001=""),"IC",VLOOKUP(I1001,Scale[],2,1)))</f>
        <v/>
      </c>
    </row>
    <row r="1002" spans="1:10" x14ac:dyDescent="0.35">
      <c r="A1002" s="34"/>
      <c r="B1002" s="35"/>
      <c r="C1002" s="34"/>
      <c r="D1002" s="34"/>
      <c r="E1002" s="34"/>
      <c r="F1002" s="46"/>
      <c r="G1002" s="46"/>
      <c r="H1002" s="14" t="str">
        <f>IF(Assessment_Sheet[[#This Row],[NAME ]]="","",ROUND((G1002/60*40),0))</f>
        <v/>
      </c>
      <c r="I1002" s="15" t="str">
        <f t="shared" si="16"/>
        <v/>
      </c>
      <c r="J1002" s="16" t="str">
        <f>IF(B1002="","",IF(OR(F1002="",G1002=""),"IC",VLOOKUP(I1002,Scale[],2,1)))</f>
        <v/>
      </c>
    </row>
    <row r="1003" spans="1:10" x14ac:dyDescent="0.35">
      <c r="A1003" s="34"/>
      <c r="B1003" s="35"/>
      <c r="C1003" s="34"/>
      <c r="D1003" s="34"/>
      <c r="E1003" s="34"/>
      <c r="F1003" s="46"/>
      <c r="G1003" s="46"/>
      <c r="H1003" s="14" t="str">
        <f>IF(Assessment_Sheet[[#This Row],[NAME ]]="","",ROUND((G1003/60*40),0))</f>
        <v/>
      </c>
      <c r="I1003" s="15" t="str">
        <f t="shared" si="16"/>
        <v/>
      </c>
      <c r="J1003" s="16" t="str">
        <f>IF(B1003="","",IF(OR(F1003="",G1003=""),"IC",VLOOKUP(I1003,Scale[],2,1)))</f>
        <v/>
      </c>
    </row>
    <row r="1004" spans="1:10" x14ac:dyDescent="0.35">
      <c r="A1004" s="34"/>
      <c r="B1004" s="35"/>
      <c r="C1004" s="34"/>
      <c r="D1004" s="34"/>
      <c r="E1004" s="34"/>
      <c r="F1004" s="46"/>
      <c r="G1004" s="46"/>
      <c r="H1004" s="14" t="str">
        <f>IF(Assessment_Sheet[[#This Row],[NAME ]]="","",ROUND((G1004/60*40),0))</f>
        <v/>
      </c>
      <c r="I1004" s="15" t="str">
        <f t="shared" si="16"/>
        <v/>
      </c>
      <c r="J1004" s="16" t="str">
        <f>IF(B1004="","",IF(OR(F1004="",G1004=""),"IC",VLOOKUP(I1004,Scale[],2,1)))</f>
        <v/>
      </c>
    </row>
    <row r="1005" spans="1:10" x14ac:dyDescent="0.35">
      <c r="A1005" s="34"/>
      <c r="B1005" s="35"/>
      <c r="C1005" s="34"/>
      <c r="D1005" s="34"/>
      <c r="E1005" s="34"/>
      <c r="F1005" s="46"/>
      <c r="G1005" s="46"/>
      <c r="H1005" s="14" t="str">
        <f>IF(Assessment_Sheet[[#This Row],[NAME ]]="","",ROUND((G1005/60*40),0))</f>
        <v/>
      </c>
      <c r="I1005" s="15" t="str">
        <f t="shared" si="16"/>
        <v/>
      </c>
      <c r="J1005" s="16" t="str">
        <f>IF(B1005="","",IF(OR(F1005="",G1005=""),"IC",VLOOKUP(I1005,Scale[],2,1)))</f>
        <v/>
      </c>
    </row>
    <row r="1006" spans="1:10" x14ac:dyDescent="0.35">
      <c r="A1006" s="34"/>
      <c r="B1006" s="35"/>
      <c r="C1006" s="34"/>
      <c r="D1006" s="34"/>
      <c r="E1006" s="34"/>
      <c r="F1006" s="46"/>
      <c r="G1006" s="46"/>
      <c r="H1006" s="14" t="str">
        <f>IF(Assessment_Sheet[[#This Row],[NAME ]]="","",ROUND((G1006/60*40),0))</f>
        <v/>
      </c>
      <c r="I1006" s="15" t="str">
        <f t="shared" si="16"/>
        <v/>
      </c>
      <c r="J1006" s="16" t="str">
        <f>IF(B1006="","",IF(OR(F1006="",G1006=""),"IC",VLOOKUP(I1006,Scale[],2,1)))</f>
        <v/>
      </c>
    </row>
    <row r="1007" spans="1:10" x14ac:dyDescent="0.35">
      <c r="A1007" s="34"/>
      <c r="B1007" s="35"/>
      <c r="C1007" s="34"/>
      <c r="D1007" s="34"/>
      <c r="E1007" s="34"/>
      <c r="F1007" s="46"/>
      <c r="G1007" s="46"/>
      <c r="H1007" s="14" t="str">
        <f>IF(Assessment_Sheet[[#This Row],[NAME ]]="","",ROUND((G1007/60*40),0))</f>
        <v/>
      </c>
      <c r="I1007" s="15" t="str">
        <f t="shared" si="16"/>
        <v/>
      </c>
      <c r="J1007" s="16" t="str">
        <f>IF(B1007="","",IF(OR(F1007="",G1007=""),"IC",VLOOKUP(I1007,Scale[],2,1)))</f>
        <v/>
      </c>
    </row>
    <row r="1008" spans="1:10" x14ac:dyDescent="0.35">
      <c r="A1008" s="34"/>
      <c r="B1008" s="35"/>
      <c r="C1008" s="34"/>
      <c r="D1008" s="34"/>
      <c r="E1008" s="34"/>
      <c r="F1008" s="46"/>
      <c r="G1008" s="46"/>
      <c r="H1008" s="14" t="str">
        <f>IF(Assessment_Sheet[[#This Row],[NAME ]]="","",ROUND((G1008/60*40),0))</f>
        <v/>
      </c>
      <c r="I1008" s="15" t="str">
        <f t="shared" si="16"/>
        <v/>
      </c>
      <c r="J1008" s="16" t="str">
        <f>IF(B1008="","",IF(OR(F1008="",G1008=""),"IC",VLOOKUP(I1008,Scale[],2,1)))</f>
        <v/>
      </c>
    </row>
    <row r="1009" spans="1:10" x14ac:dyDescent="0.35">
      <c r="A1009" s="34"/>
      <c r="B1009" s="35"/>
      <c r="C1009" s="34"/>
      <c r="D1009" s="34"/>
      <c r="E1009" s="34"/>
      <c r="F1009" s="46"/>
      <c r="G1009" s="46"/>
      <c r="H1009" s="14" t="str">
        <f>IF(Assessment_Sheet[[#This Row],[NAME ]]="","",ROUND((G1009/60*40),0))</f>
        <v/>
      </c>
      <c r="I1009" s="15" t="str">
        <f t="shared" si="16"/>
        <v/>
      </c>
      <c r="J1009" s="16" t="str">
        <f>IF(B1009="","",IF(OR(F1009="",G1009=""),"IC",VLOOKUP(I1009,Scale[],2,1)))</f>
        <v/>
      </c>
    </row>
    <row r="1010" spans="1:10" x14ac:dyDescent="0.35">
      <c r="A1010" s="34"/>
      <c r="B1010" s="35"/>
      <c r="C1010" s="34"/>
      <c r="D1010" s="34"/>
      <c r="E1010" s="34"/>
      <c r="F1010" s="46"/>
      <c r="G1010" s="46"/>
      <c r="H1010" s="14" t="str">
        <f>IF(Assessment_Sheet[[#This Row],[NAME ]]="","",ROUND((G1010/60*40),0))</f>
        <v/>
      </c>
      <c r="I1010" s="15" t="str">
        <f t="shared" si="16"/>
        <v/>
      </c>
      <c r="J1010" s="16" t="str">
        <f>IF(B1010="","",IF(OR(F1010="",G1010=""),"IC",VLOOKUP(I1010,Scale[],2,1)))</f>
        <v/>
      </c>
    </row>
    <row r="1011" spans="1:10" x14ac:dyDescent="0.35">
      <c r="A1011" s="34"/>
      <c r="B1011" s="35"/>
      <c r="C1011" s="34"/>
      <c r="D1011" s="34"/>
      <c r="E1011" s="34"/>
      <c r="F1011" s="46"/>
      <c r="G1011" s="46"/>
      <c r="H1011" s="14" t="str">
        <f>IF(Assessment_Sheet[[#This Row],[NAME ]]="","",ROUND((G1011/60*40),0))</f>
        <v/>
      </c>
      <c r="I1011" s="15" t="str">
        <f t="shared" si="16"/>
        <v/>
      </c>
      <c r="J1011" s="16" t="str">
        <f>IF(B1011="","",IF(OR(F1011="",G1011=""),"IC",VLOOKUP(I1011,Scale[],2,1)))</f>
        <v/>
      </c>
    </row>
    <row r="1012" spans="1:10" x14ac:dyDescent="0.35">
      <c r="A1012" s="34"/>
      <c r="B1012" s="35"/>
      <c r="C1012" s="34"/>
      <c r="D1012" s="34"/>
      <c r="E1012" s="34"/>
      <c r="F1012" s="46"/>
      <c r="G1012" s="46"/>
      <c r="H1012" s="14" t="str">
        <f>IF(Assessment_Sheet[[#This Row],[NAME ]]="","",ROUND((G1012/60*40),0))</f>
        <v/>
      </c>
      <c r="I1012" s="15" t="str">
        <f t="shared" si="16"/>
        <v/>
      </c>
      <c r="J1012" s="16" t="str">
        <f>IF(B1012="","",IF(OR(F1012="",G1012=""),"IC",VLOOKUP(I1012,Scale[],2,1)))</f>
        <v/>
      </c>
    </row>
    <row r="1013" spans="1:10" x14ac:dyDescent="0.35">
      <c r="A1013" s="34"/>
      <c r="B1013" s="35"/>
      <c r="C1013" s="34"/>
      <c r="D1013" s="34"/>
      <c r="E1013" s="34"/>
      <c r="F1013" s="46"/>
      <c r="G1013" s="46"/>
      <c r="H1013" s="14" t="str">
        <f>IF(Assessment_Sheet[[#This Row],[NAME ]]="","",ROUND((G1013/60*40),0))</f>
        <v/>
      </c>
      <c r="I1013" s="15" t="str">
        <f t="shared" si="16"/>
        <v/>
      </c>
      <c r="J1013" s="16" t="str">
        <f>IF(B1013="","",IF(OR(F1013="",G1013=""),"IC",VLOOKUP(I1013,Scale[],2,1)))</f>
        <v/>
      </c>
    </row>
    <row r="1014" spans="1:10" x14ac:dyDescent="0.35">
      <c r="A1014" s="34"/>
      <c r="B1014" s="35"/>
      <c r="C1014" s="34"/>
      <c r="D1014" s="34"/>
      <c r="E1014" s="34"/>
      <c r="F1014" s="46"/>
      <c r="G1014" s="46"/>
      <c r="H1014" s="14" t="str">
        <f>IF(Assessment_Sheet[[#This Row],[NAME ]]="","",ROUND((G1014/60*40),0))</f>
        <v/>
      </c>
      <c r="I1014" s="15" t="str">
        <f t="shared" si="16"/>
        <v/>
      </c>
      <c r="J1014" s="16" t="str">
        <f>IF(B1014="","",IF(OR(F1014="",G1014=""),"IC",VLOOKUP(I1014,Scale[],2,1)))</f>
        <v/>
      </c>
    </row>
    <row r="1015" spans="1:10" x14ac:dyDescent="0.35">
      <c r="A1015" s="34"/>
      <c r="B1015" s="35"/>
      <c r="C1015" s="34"/>
      <c r="D1015" s="34"/>
      <c r="E1015" s="34"/>
      <c r="F1015" s="46"/>
      <c r="G1015" s="46"/>
      <c r="H1015" s="14" t="str">
        <f>IF(Assessment_Sheet[[#This Row],[NAME ]]="","",ROUND((G1015/60*40),0))</f>
        <v/>
      </c>
      <c r="I1015" s="15" t="str">
        <f t="shared" si="16"/>
        <v/>
      </c>
      <c r="J1015" s="16" t="str">
        <f>IF(B1015="","",IF(OR(F1015="",G1015=""),"IC",VLOOKUP(I1015,Scale[],2,1)))</f>
        <v/>
      </c>
    </row>
    <row r="1016" spans="1:10" x14ac:dyDescent="0.35">
      <c r="A1016" s="34"/>
      <c r="B1016" s="35"/>
      <c r="C1016" s="34"/>
      <c r="D1016" s="34"/>
      <c r="E1016" s="34"/>
      <c r="F1016" s="46"/>
      <c r="G1016" s="46"/>
      <c r="H1016" s="14" t="str">
        <f>IF(Assessment_Sheet[[#This Row],[NAME ]]="","",ROUND((G1016/60*40),0))</f>
        <v/>
      </c>
      <c r="I1016" s="15" t="str">
        <f t="shared" si="16"/>
        <v/>
      </c>
      <c r="J1016" s="16" t="str">
        <f>IF(B1016="","",IF(OR(F1016="",G1016=""),"IC",VLOOKUP(I1016,Scale[],2,1)))</f>
        <v/>
      </c>
    </row>
    <row r="1017" spans="1:10" x14ac:dyDescent="0.35">
      <c r="A1017" s="34"/>
      <c r="B1017" s="35"/>
      <c r="C1017" s="34"/>
      <c r="D1017" s="34"/>
      <c r="E1017" s="34"/>
      <c r="F1017" s="46"/>
      <c r="G1017" s="46"/>
      <c r="H1017" s="14" t="str">
        <f>IF(Assessment_Sheet[[#This Row],[NAME ]]="","",ROUND((G1017/60*40),0))</f>
        <v/>
      </c>
      <c r="I1017" s="15" t="str">
        <f t="shared" si="16"/>
        <v/>
      </c>
      <c r="J1017" s="16" t="str">
        <f>IF(B1017="","",IF(OR(F1017="",G1017=""),"IC",VLOOKUP(I1017,Scale[],2,1)))</f>
        <v/>
      </c>
    </row>
    <row r="1018" spans="1:10" x14ac:dyDescent="0.35">
      <c r="A1018" s="34"/>
      <c r="B1018" s="35"/>
      <c r="C1018" s="34"/>
      <c r="D1018" s="34"/>
      <c r="E1018" s="34"/>
      <c r="F1018" s="46"/>
      <c r="G1018" s="46"/>
      <c r="H1018" s="14" t="str">
        <f>IF(Assessment_Sheet[[#This Row],[NAME ]]="","",ROUND((G1018/60*40),0))</f>
        <v/>
      </c>
      <c r="I1018" s="15" t="str">
        <f t="shared" si="16"/>
        <v/>
      </c>
      <c r="J1018" s="16" t="str">
        <f>IF(B1018="","",IF(OR(F1018="",G1018=""),"IC",VLOOKUP(I1018,Scale[],2,1)))</f>
        <v/>
      </c>
    </row>
    <row r="1019" spans="1:10" x14ac:dyDescent="0.35">
      <c r="A1019" s="34"/>
      <c r="B1019" s="35"/>
      <c r="C1019" s="34"/>
      <c r="D1019" s="34"/>
      <c r="E1019" s="34"/>
      <c r="F1019" s="46"/>
      <c r="G1019" s="46"/>
      <c r="H1019" s="14" t="str">
        <f>IF(Assessment_Sheet[[#This Row],[NAME ]]="","",ROUND((G1019/60*40),0))</f>
        <v/>
      </c>
      <c r="I1019" s="15" t="str">
        <f t="shared" si="16"/>
        <v/>
      </c>
      <c r="J1019" s="16" t="str">
        <f>IF(B1019="","",IF(OR(F1019="",G1019=""),"IC",VLOOKUP(I1019,Scale[],2,1)))</f>
        <v/>
      </c>
    </row>
    <row r="1020" spans="1:10" x14ac:dyDescent="0.35">
      <c r="A1020" s="34"/>
      <c r="B1020" s="35"/>
      <c r="C1020" s="34"/>
      <c r="D1020" s="34"/>
      <c r="E1020" s="34"/>
      <c r="F1020" s="46"/>
      <c r="G1020" s="46"/>
      <c r="H1020" s="14" t="str">
        <f>IF(Assessment_Sheet[[#This Row],[NAME ]]="","",ROUND((G1020/60*40),0))</f>
        <v/>
      </c>
      <c r="I1020" s="15" t="str">
        <f t="shared" si="16"/>
        <v/>
      </c>
      <c r="J1020" s="16" t="str">
        <f>IF(B1020="","",IF(OR(F1020="",G1020=""),"IC",VLOOKUP(I1020,Scale[],2,1)))</f>
        <v/>
      </c>
    </row>
    <row r="1021" spans="1:10" x14ac:dyDescent="0.35">
      <c r="A1021" s="34"/>
      <c r="B1021" s="35"/>
      <c r="C1021" s="34"/>
      <c r="D1021" s="34"/>
      <c r="E1021" s="34"/>
      <c r="F1021" s="46"/>
      <c r="G1021" s="46"/>
      <c r="H1021" s="14" t="str">
        <f>IF(Assessment_Sheet[[#This Row],[NAME ]]="","",ROUND((G1021/60*40),0))</f>
        <v/>
      </c>
      <c r="I1021" s="15" t="str">
        <f t="shared" si="16"/>
        <v/>
      </c>
      <c r="J1021" s="16" t="str">
        <f>IF(B1021="","",IF(OR(F1021="",G1021=""),"IC",VLOOKUP(I1021,Scale[],2,1)))</f>
        <v/>
      </c>
    </row>
    <row r="1022" spans="1:10" x14ac:dyDescent="0.35">
      <c r="A1022" s="34"/>
      <c r="B1022" s="35"/>
      <c r="C1022" s="34"/>
      <c r="D1022" s="34"/>
      <c r="E1022" s="34"/>
      <c r="F1022" s="46"/>
      <c r="G1022" s="46"/>
      <c r="H1022" s="14" t="str">
        <f>IF(Assessment_Sheet[[#This Row],[NAME ]]="","",ROUND((G1022/60*40),0))</f>
        <v/>
      </c>
      <c r="I1022" s="15" t="str">
        <f t="shared" si="16"/>
        <v/>
      </c>
      <c r="J1022" s="16" t="str">
        <f>IF(B1022="","",IF(OR(F1022="",G1022=""),"IC",VLOOKUP(I1022,Scale[],2,1)))</f>
        <v/>
      </c>
    </row>
    <row r="1023" spans="1:10" x14ac:dyDescent="0.35">
      <c r="A1023" s="34"/>
      <c r="B1023" s="35"/>
      <c r="C1023" s="34"/>
      <c r="D1023" s="34"/>
      <c r="E1023" s="34"/>
      <c r="F1023" s="46"/>
      <c r="G1023" s="46"/>
      <c r="H1023" s="14" t="str">
        <f>IF(Assessment_Sheet[[#This Row],[NAME ]]="","",ROUND((G1023/60*40),0))</f>
        <v/>
      </c>
      <c r="I1023" s="15" t="str">
        <f t="shared" si="16"/>
        <v/>
      </c>
      <c r="J1023" s="16" t="str">
        <f>IF(B1023="","",IF(OR(F1023="",G1023=""),"IC",VLOOKUP(I1023,Scale[],2,1)))</f>
        <v/>
      </c>
    </row>
    <row r="1024" spans="1:10" x14ac:dyDescent="0.35">
      <c r="A1024" s="34"/>
      <c r="B1024" s="35"/>
      <c r="C1024" s="34"/>
      <c r="D1024" s="34"/>
      <c r="E1024" s="34"/>
      <c r="F1024" s="46"/>
      <c r="G1024" s="46"/>
      <c r="H1024" s="14" t="str">
        <f>IF(Assessment_Sheet[[#This Row],[NAME ]]="","",ROUND((G1024/60*40),0))</f>
        <v/>
      </c>
      <c r="I1024" s="15" t="str">
        <f t="shared" si="16"/>
        <v/>
      </c>
      <c r="J1024" s="16" t="str">
        <f>IF(B1024="","",IF(OR(F1024="",G1024=""),"IC",VLOOKUP(I1024,Scale[],2,1)))</f>
        <v/>
      </c>
    </row>
    <row r="1025" spans="1:10" x14ac:dyDescent="0.35">
      <c r="A1025" s="34"/>
      <c r="B1025" s="35"/>
      <c r="C1025" s="34"/>
      <c r="D1025" s="34"/>
      <c r="E1025" s="34"/>
      <c r="F1025" s="46"/>
      <c r="G1025" s="46"/>
      <c r="H1025" s="14" t="str">
        <f>IF(Assessment_Sheet[[#This Row],[NAME ]]="","",ROUND((G1025/60*40),0))</f>
        <v/>
      </c>
      <c r="I1025" s="15" t="str">
        <f t="shared" si="16"/>
        <v/>
      </c>
      <c r="J1025" s="16" t="str">
        <f>IF(B1025="","",IF(OR(F1025="",G1025=""),"IC",VLOOKUP(I1025,Scale[],2,1)))</f>
        <v/>
      </c>
    </row>
    <row r="1026" spans="1:10" x14ac:dyDescent="0.35">
      <c r="A1026" s="34"/>
      <c r="B1026" s="35"/>
      <c r="C1026" s="34"/>
      <c r="D1026" s="34"/>
      <c r="E1026" s="34"/>
      <c r="F1026" s="46"/>
      <c r="G1026" s="46"/>
      <c r="H1026" s="14" t="str">
        <f>IF(Assessment_Sheet[[#This Row],[NAME ]]="","",ROUND((G1026/60*40),0))</f>
        <v/>
      </c>
      <c r="I1026" s="15" t="str">
        <f t="shared" si="16"/>
        <v/>
      </c>
      <c r="J1026" s="16" t="str">
        <f>IF(B1026="","",IF(OR(F1026="",G1026=""),"IC",VLOOKUP(I1026,Scale[],2,1)))</f>
        <v/>
      </c>
    </row>
    <row r="1027" spans="1:10" x14ac:dyDescent="0.35">
      <c r="A1027" s="34"/>
      <c r="B1027" s="35"/>
      <c r="C1027" s="34"/>
      <c r="D1027" s="34"/>
      <c r="E1027" s="34"/>
      <c r="F1027" s="46"/>
      <c r="G1027" s="46"/>
      <c r="H1027" s="14" t="str">
        <f>IF(Assessment_Sheet[[#This Row],[NAME ]]="","",ROUND((G1027/60*40),0))</f>
        <v/>
      </c>
      <c r="I1027" s="15" t="str">
        <f t="shared" si="16"/>
        <v/>
      </c>
      <c r="J1027" s="16" t="str">
        <f>IF(B1027="","",IF(OR(F1027="",G1027=""),"IC",VLOOKUP(I1027,Scale[],2,1)))</f>
        <v/>
      </c>
    </row>
    <row r="1028" spans="1:10" x14ac:dyDescent="0.35">
      <c r="A1028" s="34"/>
      <c r="B1028" s="35"/>
      <c r="C1028" s="34"/>
      <c r="D1028" s="34"/>
      <c r="E1028" s="34"/>
      <c r="F1028" s="46"/>
      <c r="G1028" s="46"/>
      <c r="H1028" s="14" t="str">
        <f>IF(Assessment_Sheet[[#This Row],[NAME ]]="","",ROUND((G1028/60*40),0))</f>
        <v/>
      </c>
      <c r="I1028" s="15" t="str">
        <f t="shared" si="16"/>
        <v/>
      </c>
      <c r="J1028" s="16" t="str">
        <f>IF(B1028="","",IF(OR(F1028="",G1028=""),"IC",VLOOKUP(I1028,Scale[],2,1)))</f>
        <v/>
      </c>
    </row>
    <row r="1029" spans="1:10" x14ac:dyDescent="0.35">
      <c r="A1029" s="34"/>
      <c r="B1029" s="35"/>
      <c r="C1029" s="34"/>
      <c r="D1029" s="34"/>
      <c r="E1029" s="34"/>
      <c r="F1029" s="46"/>
      <c r="G1029" s="46"/>
      <c r="H1029" s="14" t="str">
        <f>IF(Assessment_Sheet[[#This Row],[NAME ]]="","",ROUND((G1029/60*40),0))</f>
        <v/>
      </c>
      <c r="I1029" s="15" t="str">
        <f t="shared" si="16"/>
        <v/>
      </c>
      <c r="J1029" s="16" t="str">
        <f>IF(B1029="","",IF(OR(F1029="",G1029=""),"IC",VLOOKUP(I1029,Scale[],2,1)))</f>
        <v/>
      </c>
    </row>
    <row r="1030" spans="1:10" x14ac:dyDescent="0.35">
      <c r="A1030" s="34"/>
      <c r="B1030" s="35"/>
      <c r="C1030" s="34"/>
      <c r="D1030" s="34"/>
      <c r="E1030" s="34"/>
      <c r="F1030" s="46"/>
      <c r="G1030" s="46"/>
      <c r="H1030" s="14" t="str">
        <f>IF(Assessment_Sheet[[#This Row],[NAME ]]="","",ROUND((G1030/60*40),0))</f>
        <v/>
      </c>
      <c r="I1030" s="15" t="str">
        <f t="shared" si="16"/>
        <v/>
      </c>
      <c r="J1030" s="16" t="str">
        <f>IF(B1030="","",IF(OR(F1030="",G1030=""),"IC",VLOOKUP(I1030,Scale[],2,1)))</f>
        <v/>
      </c>
    </row>
    <row r="1031" spans="1:10" x14ac:dyDescent="0.35">
      <c r="A1031" s="34"/>
      <c r="B1031" s="35"/>
      <c r="C1031" s="34"/>
      <c r="D1031" s="34"/>
      <c r="E1031" s="34"/>
      <c r="F1031" s="46"/>
      <c r="G1031" s="46"/>
      <c r="H1031" s="14" t="str">
        <f>IF(Assessment_Sheet[[#This Row],[NAME ]]="","",ROUND((G1031/60*40),0))</f>
        <v/>
      </c>
      <c r="I1031" s="15" t="str">
        <f t="shared" si="16"/>
        <v/>
      </c>
      <c r="J1031" s="16" t="str">
        <f>IF(B1031="","",IF(OR(F1031="",G1031=""),"IC",VLOOKUP(I1031,Scale[],2,1)))</f>
        <v/>
      </c>
    </row>
    <row r="1032" spans="1:10" x14ac:dyDescent="0.35">
      <c r="A1032" s="34"/>
      <c r="B1032" s="35"/>
      <c r="C1032" s="34"/>
      <c r="D1032" s="34"/>
      <c r="E1032" s="34"/>
      <c r="F1032" s="46"/>
      <c r="G1032" s="46"/>
      <c r="H1032" s="14" t="str">
        <f>IF(Assessment_Sheet[[#This Row],[NAME ]]="","",ROUND((G1032/60*40),0))</f>
        <v/>
      </c>
      <c r="I1032" s="15" t="str">
        <f t="shared" ref="I1032:I1095" si="17">IFERROR(ROUND((F1032+H1032),0),"")</f>
        <v/>
      </c>
      <c r="J1032" s="16" t="str">
        <f>IF(B1032="","",IF(OR(F1032="",G1032=""),"IC",VLOOKUP(I1032,Scale[],2,1)))</f>
        <v/>
      </c>
    </row>
    <row r="1033" spans="1:10" x14ac:dyDescent="0.35">
      <c r="A1033" s="34"/>
      <c r="B1033" s="35"/>
      <c r="C1033" s="34"/>
      <c r="D1033" s="34"/>
      <c r="E1033" s="34"/>
      <c r="F1033" s="46"/>
      <c r="G1033" s="46"/>
      <c r="H1033" s="14" t="str">
        <f>IF(Assessment_Sheet[[#This Row],[NAME ]]="","",ROUND((G1033/60*40),0))</f>
        <v/>
      </c>
      <c r="I1033" s="15" t="str">
        <f t="shared" si="17"/>
        <v/>
      </c>
      <c r="J1033" s="16" t="str">
        <f>IF(B1033="","",IF(OR(F1033="",G1033=""),"IC",VLOOKUP(I1033,Scale[],2,1)))</f>
        <v/>
      </c>
    </row>
    <row r="1034" spans="1:10" x14ac:dyDescent="0.35">
      <c r="A1034" s="34"/>
      <c r="B1034" s="35"/>
      <c r="C1034" s="34"/>
      <c r="D1034" s="34"/>
      <c r="E1034" s="34"/>
      <c r="F1034" s="46"/>
      <c r="G1034" s="46"/>
      <c r="H1034" s="14" t="str">
        <f>IF(Assessment_Sheet[[#This Row],[NAME ]]="","",ROUND((G1034/60*40),0))</f>
        <v/>
      </c>
      <c r="I1034" s="15" t="str">
        <f t="shared" si="17"/>
        <v/>
      </c>
      <c r="J1034" s="16" t="str">
        <f>IF(B1034="","",IF(OR(F1034="",G1034=""),"IC",VLOOKUP(I1034,Scale[],2,1)))</f>
        <v/>
      </c>
    </row>
    <row r="1035" spans="1:10" x14ac:dyDescent="0.35">
      <c r="A1035" s="34"/>
      <c r="B1035" s="35"/>
      <c r="C1035" s="34"/>
      <c r="D1035" s="34"/>
      <c r="E1035" s="34"/>
      <c r="F1035" s="46"/>
      <c r="G1035" s="46"/>
      <c r="H1035" s="14" t="str">
        <f>IF(Assessment_Sheet[[#This Row],[NAME ]]="","",ROUND((G1035/60*40),0))</f>
        <v/>
      </c>
      <c r="I1035" s="15" t="str">
        <f t="shared" si="17"/>
        <v/>
      </c>
      <c r="J1035" s="16" t="str">
        <f>IF(B1035="","",IF(OR(F1035="",G1035=""),"IC",VLOOKUP(I1035,Scale[],2,1)))</f>
        <v/>
      </c>
    </row>
    <row r="1036" spans="1:10" x14ac:dyDescent="0.35">
      <c r="A1036" s="34"/>
      <c r="B1036" s="35"/>
      <c r="C1036" s="34"/>
      <c r="D1036" s="34"/>
      <c r="E1036" s="34"/>
      <c r="F1036" s="46"/>
      <c r="G1036" s="46"/>
      <c r="H1036" s="14" t="str">
        <f>IF(Assessment_Sheet[[#This Row],[NAME ]]="","",ROUND((G1036/60*40),0))</f>
        <v/>
      </c>
      <c r="I1036" s="15" t="str">
        <f t="shared" si="17"/>
        <v/>
      </c>
      <c r="J1036" s="16" t="str">
        <f>IF(B1036="","",IF(OR(F1036="",G1036=""),"IC",VLOOKUP(I1036,Scale[],2,1)))</f>
        <v/>
      </c>
    </row>
    <row r="1037" spans="1:10" x14ac:dyDescent="0.35">
      <c r="A1037" s="34"/>
      <c r="B1037" s="35"/>
      <c r="C1037" s="34"/>
      <c r="D1037" s="34"/>
      <c r="E1037" s="34"/>
      <c r="F1037" s="46"/>
      <c r="G1037" s="46"/>
      <c r="H1037" s="14" t="str">
        <f>IF(Assessment_Sheet[[#This Row],[NAME ]]="","",ROUND((G1037/60*40),0))</f>
        <v/>
      </c>
      <c r="I1037" s="15" t="str">
        <f t="shared" si="17"/>
        <v/>
      </c>
      <c r="J1037" s="16" t="str">
        <f>IF(B1037="","",IF(OR(F1037="",G1037=""),"IC",VLOOKUP(I1037,Scale[],2,1)))</f>
        <v/>
      </c>
    </row>
    <row r="1038" spans="1:10" x14ac:dyDescent="0.35">
      <c r="A1038" s="34"/>
      <c r="B1038" s="35"/>
      <c r="C1038" s="34"/>
      <c r="D1038" s="34"/>
      <c r="E1038" s="34"/>
      <c r="F1038" s="46"/>
      <c r="G1038" s="46"/>
      <c r="H1038" s="14" t="str">
        <f>IF(Assessment_Sheet[[#This Row],[NAME ]]="","",ROUND((G1038/60*40),0))</f>
        <v/>
      </c>
      <c r="I1038" s="15" t="str">
        <f t="shared" si="17"/>
        <v/>
      </c>
      <c r="J1038" s="16" t="str">
        <f>IF(B1038="","",IF(OR(F1038="",G1038=""),"IC",VLOOKUP(I1038,Scale[],2,1)))</f>
        <v/>
      </c>
    </row>
    <row r="1039" spans="1:10" x14ac:dyDescent="0.35">
      <c r="A1039" s="34"/>
      <c r="B1039" s="35"/>
      <c r="C1039" s="34"/>
      <c r="D1039" s="34"/>
      <c r="E1039" s="34"/>
      <c r="F1039" s="46"/>
      <c r="G1039" s="46"/>
      <c r="H1039" s="14" t="str">
        <f>IF(Assessment_Sheet[[#This Row],[NAME ]]="","",ROUND((G1039/60*40),0))</f>
        <v/>
      </c>
      <c r="I1039" s="15" t="str">
        <f t="shared" si="17"/>
        <v/>
      </c>
      <c r="J1039" s="16" t="str">
        <f>IF(B1039="","",IF(OR(F1039="",G1039=""),"IC",VLOOKUP(I1039,Scale[],2,1)))</f>
        <v/>
      </c>
    </row>
    <row r="1040" spans="1:10" x14ac:dyDescent="0.35">
      <c r="A1040" s="34"/>
      <c r="B1040" s="35"/>
      <c r="C1040" s="34"/>
      <c r="D1040" s="34"/>
      <c r="E1040" s="34"/>
      <c r="F1040" s="46"/>
      <c r="G1040" s="46"/>
      <c r="H1040" s="14" t="str">
        <f>IF(Assessment_Sheet[[#This Row],[NAME ]]="","",ROUND((G1040/60*40),0))</f>
        <v/>
      </c>
      <c r="I1040" s="15" t="str">
        <f t="shared" si="17"/>
        <v/>
      </c>
      <c r="J1040" s="16" t="str">
        <f>IF(B1040="","",IF(OR(F1040="",G1040=""),"IC",VLOOKUP(I1040,Scale[],2,1)))</f>
        <v/>
      </c>
    </row>
    <row r="1041" spans="1:10" x14ac:dyDescent="0.35">
      <c r="A1041" s="34"/>
      <c r="B1041" s="35"/>
      <c r="C1041" s="34"/>
      <c r="D1041" s="34"/>
      <c r="E1041" s="34"/>
      <c r="F1041" s="46"/>
      <c r="G1041" s="46"/>
      <c r="H1041" s="14" t="str">
        <f>IF(Assessment_Sheet[[#This Row],[NAME ]]="","",ROUND((G1041/60*40),0))</f>
        <v/>
      </c>
      <c r="I1041" s="15" t="str">
        <f t="shared" si="17"/>
        <v/>
      </c>
      <c r="J1041" s="16" t="str">
        <f>IF(B1041="","",IF(OR(F1041="",G1041=""),"IC",VLOOKUP(I1041,Scale[],2,1)))</f>
        <v/>
      </c>
    </row>
    <row r="1042" spans="1:10" x14ac:dyDescent="0.35">
      <c r="A1042" s="34"/>
      <c r="B1042" s="35"/>
      <c r="C1042" s="34"/>
      <c r="D1042" s="34"/>
      <c r="E1042" s="34"/>
      <c r="F1042" s="46"/>
      <c r="G1042" s="46"/>
      <c r="H1042" s="14" t="str">
        <f>IF(Assessment_Sheet[[#This Row],[NAME ]]="","",ROUND((G1042/60*40),0))</f>
        <v/>
      </c>
      <c r="I1042" s="15" t="str">
        <f t="shared" si="17"/>
        <v/>
      </c>
      <c r="J1042" s="16" t="str">
        <f>IF(B1042="","",IF(OR(F1042="",G1042=""),"IC",VLOOKUP(I1042,Scale[],2,1)))</f>
        <v/>
      </c>
    </row>
    <row r="1043" spans="1:10" x14ac:dyDescent="0.35">
      <c r="A1043" s="34"/>
      <c r="B1043" s="35"/>
      <c r="C1043" s="34"/>
      <c r="D1043" s="34"/>
      <c r="E1043" s="34"/>
      <c r="F1043" s="46"/>
      <c r="G1043" s="46"/>
      <c r="H1043" s="14" t="str">
        <f>IF(Assessment_Sheet[[#This Row],[NAME ]]="","",ROUND((G1043/60*40),0))</f>
        <v/>
      </c>
      <c r="I1043" s="15" t="str">
        <f t="shared" si="17"/>
        <v/>
      </c>
      <c r="J1043" s="16" t="str">
        <f>IF(B1043="","",IF(OR(F1043="",G1043=""),"IC",VLOOKUP(I1043,Scale[],2,1)))</f>
        <v/>
      </c>
    </row>
    <row r="1044" spans="1:10" x14ac:dyDescent="0.35">
      <c r="A1044" s="34"/>
      <c r="B1044" s="35"/>
      <c r="C1044" s="34"/>
      <c r="D1044" s="34"/>
      <c r="E1044" s="34"/>
      <c r="F1044" s="46"/>
      <c r="G1044" s="46"/>
      <c r="H1044" s="14" t="str">
        <f>IF(Assessment_Sheet[[#This Row],[NAME ]]="","",ROUND((G1044/60*40),0))</f>
        <v/>
      </c>
      <c r="I1044" s="15" t="str">
        <f t="shared" si="17"/>
        <v/>
      </c>
      <c r="J1044" s="16" t="str">
        <f>IF(B1044="","",IF(OR(F1044="",G1044=""),"IC",VLOOKUP(I1044,Scale[],2,1)))</f>
        <v/>
      </c>
    </row>
    <row r="1045" spans="1:10" x14ac:dyDescent="0.35">
      <c r="A1045" s="34"/>
      <c r="B1045" s="35"/>
      <c r="C1045" s="34"/>
      <c r="D1045" s="34"/>
      <c r="E1045" s="34"/>
      <c r="F1045" s="46"/>
      <c r="G1045" s="46"/>
      <c r="H1045" s="14" t="str">
        <f>IF(Assessment_Sheet[[#This Row],[NAME ]]="","",ROUND((G1045/60*40),0))</f>
        <v/>
      </c>
      <c r="I1045" s="15" t="str">
        <f t="shared" si="17"/>
        <v/>
      </c>
      <c r="J1045" s="16" t="str">
        <f>IF(B1045="","",IF(OR(F1045="",G1045=""),"IC",VLOOKUP(I1045,Scale[],2,1)))</f>
        <v/>
      </c>
    </row>
    <row r="1046" spans="1:10" x14ac:dyDescent="0.35">
      <c r="A1046" s="34"/>
      <c r="B1046" s="35"/>
      <c r="C1046" s="34"/>
      <c r="D1046" s="34"/>
      <c r="E1046" s="34"/>
      <c r="F1046" s="46"/>
      <c r="G1046" s="46"/>
      <c r="H1046" s="14" t="str">
        <f>IF(Assessment_Sheet[[#This Row],[NAME ]]="","",ROUND((G1046/60*40),0))</f>
        <v/>
      </c>
      <c r="I1046" s="15" t="str">
        <f t="shared" si="17"/>
        <v/>
      </c>
      <c r="J1046" s="16" t="str">
        <f>IF(B1046="","",IF(OR(F1046="",G1046=""),"IC",VLOOKUP(I1046,Scale[],2,1)))</f>
        <v/>
      </c>
    </row>
    <row r="1047" spans="1:10" x14ac:dyDescent="0.35">
      <c r="A1047" s="34"/>
      <c r="B1047" s="35"/>
      <c r="C1047" s="34"/>
      <c r="D1047" s="34"/>
      <c r="E1047" s="34"/>
      <c r="F1047" s="46"/>
      <c r="G1047" s="46"/>
      <c r="H1047" s="14" t="str">
        <f>IF(Assessment_Sheet[[#This Row],[NAME ]]="","",ROUND((G1047/60*40),0))</f>
        <v/>
      </c>
      <c r="I1047" s="15" t="str">
        <f t="shared" si="17"/>
        <v/>
      </c>
      <c r="J1047" s="16" t="str">
        <f>IF(B1047="","",IF(OR(F1047="",G1047=""),"IC",VLOOKUP(I1047,Scale[],2,1)))</f>
        <v/>
      </c>
    </row>
    <row r="1048" spans="1:10" x14ac:dyDescent="0.35">
      <c r="A1048" s="34"/>
      <c r="B1048" s="35"/>
      <c r="C1048" s="34"/>
      <c r="D1048" s="34"/>
      <c r="E1048" s="34"/>
      <c r="F1048" s="46"/>
      <c r="G1048" s="46"/>
      <c r="H1048" s="14" t="str">
        <f>IF(Assessment_Sheet[[#This Row],[NAME ]]="","",ROUND((G1048/60*40),0))</f>
        <v/>
      </c>
      <c r="I1048" s="15" t="str">
        <f t="shared" si="17"/>
        <v/>
      </c>
      <c r="J1048" s="16" t="str">
        <f>IF(B1048="","",IF(OR(F1048="",G1048=""),"IC",VLOOKUP(I1048,Scale[],2,1)))</f>
        <v/>
      </c>
    </row>
    <row r="1049" spans="1:10" x14ac:dyDescent="0.35">
      <c r="A1049" s="34"/>
      <c r="B1049" s="35"/>
      <c r="C1049" s="34"/>
      <c r="D1049" s="34"/>
      <c r="E1049" s="34"/>
      <c r="F1049" s="46"/>
      <c r="G1049" s="46"/>
      <c r="H1049" s="14" t="str">
        <f>IF(Assessment_Sheet[[#This Row],[NAME ]]="","",ROUND((G1049/60*40),0))</f>
        <v/>
      </c>
      <c r="I1049" s="15" t="str">
        <f t="shared" si="17"/>
        <v/>
      </c>
      <c r="J1049" s="16" t="str">
        <f>IF(B1049="","",IF(OR(F1049="",G1049=""),"IC",VLOOKUP(I1049,Scale[],2,1)))</f>
        <v/>
      </c>
    </row>
    <row r="1050" spans="1:10" x14ac:dyDescent="0.35">
      <c r="A1050" s="34"/>
      <c r="B1050" s="35"/>
      <c r="C1050" s="34"/>
      <c r="D1050" s="34"/>
      <c r="E1050" s="34"/>
      <c r="F1050" s="46"/>
      <c r="G1050" s="46"/>
      <c r="H1050" s="14" t="str">
        <f>IF(Assessment_Sheet[[#This Row],[NAME ]]="","",ROUND((G1050/60*40),0))</f>
        <v/>
      </c>
      <c r="I1050" s="15" t="str">
        <f t="shared" si="17"/>
        <v/>
      </c>
      <c r="J1050" s="16" t="str">
        <f>IF(B1050="","",IF(OR(F1050="",G1050=""),"IC",VLOOKUP(I1050,Scale[],2,1)))</f>
        <v/>
      </c>
    </row>
    <row r="1051" spans="1:10" x14ac:dyDescent="0.35">
      <c r="A1051" s="34"/>
      <c r="B1051" s="35"/>
      <c r="C1051" s="34"/>
      <c r="D1051" s="34"/>
      <c r="E1051" s="34"/>
      <c r="F1051" s="46"/>
      <c r="G1051" s="46"/>
      <c r="H1051" s="14" t="str">
        <f>IF(Assessment_Sheet[[#This Row],[NAME ]]="","",ROUND((G1051/60*40),0))</f>
        <v/>
      </c>
      <c r="I1051" s="15" t="str">
        <f t="shared" si="17"/>
        <v/>
      </c>
      <c r="J1051" s="16" t="str">
        <f>IF(B1051="","",IF(OR(F1051="",G1051=""),"IC",VLOOKUP(I1051,Scale[],2,1)))</f>
        <v/>
      </c>
    </row>
    <row r="1052" spans="1:10" x14ac:dyDescent="0.35">
      <c r="A1052" s="34"/>
      <c r="B1052" s="35"/>
      <c r="C1052" s="34"/>
      <c r="D1052" s="34"/>
      <c r="E1052" s="34"/>
      <c r="F1052" s="46"/>
      <c r="G1052" s="46"/>
      <c r="H1052" s="14" t="str">
        <f>IF(Assessment_Sheet[[#This Row],[NAME ]]="","",ROUND((G1052/60*40),0))</f>
        <v/>
      </c>
      <c r="I1052" s="15" t="str">
        <f t="shared" si="17"/>
        <v/>
      </c>
      <c r="J1052" s="16" t="str">
        <f>IF(B1052="","",IF(OR(F1052="",G1052=""),"IC",VLOOKUP(I1052,Scale[],2,1)))</f>
        <v/>
      </c>
    </row>
    <row r="1053" spans="1:10" x14ac:dyDescent="0.35">
      <c r="A1053" s="34"/>
      <c r="B1053" s="35"/>
      <c r="C1053" s="34"/>
      <c r="D1053" s="34"/>
      <c r="E1053" s="34"/>
      <c r="F1053" s="46"/>
      <c r="G1053" s="46"/>
      <c r="H1053" s="14" t="str">
        <f>IF(Assessment_Sheet[[#This Row],[NAME ]]="","",ROUND((G1053/60*40),0))</f>
        <v/>
      </c>
      <c r="I1053" s="15" t="str">
        <f t="shared" si="17"/>
        <v/>
      </c>
      <c r="J1053" s="16" t="str">
        <f>IF(B1053="","",IF(OR(F1053="",G1053=""),"IC",VLOOKUP(I1053,Scale[],2,1)))</f>
        <v/>
      </c>
    </row>
    <row r="1054" spans="1:10" x14ac:dyDescent="0.35">
      <c r="A1054" s="34"/>
      <c r="B1054" s="35"/>
      <c r="C1054" s="34"/>
      <c r="D1054" s="34"/>
      <c r="E1054" s="34"/>
      <c r="F1054" s="46"/>
      <c r="G1054" s="46"/>
      <c r="H1054" s="14" t="str">
        <f>IF(Assessment_Sheet[[#This Row],[NAME ]]="","",ROUND((G1054/60*40),0))</f>
        <v/>
      </c>
      <c r="I1054" s="15" t="str">
        <f t="shared" si="17"/>
        <v/>
      </c>
      <c r="J1054" s="16" t="str">
        <f>IF(B1054="","",IF(OR(F1054="",G1054=""),"IC",VLOOKUP(I1054,Scale[],2,1)))</f>
        <v/>
      </c>
    </row>
    <row r="1055" spans="1:10" x14ac:dyDescent="0.35">
      <c r="A1055" s="34"/>
      <c r="B1055" s="35"/>
      <c r="C1055" s="34"/>
      <c r="D1055" s="34"/>
      <c r="E1055" s="34"/>
      <c r="F1055" s="46"/>
      <c r="G1055" s="46"/>
      <c r="H1055" s="14" t="str">
        <f>IF(Assessment_Sheet[[#This Row],[NAME ]]="","",ROUND((G1055/60*40),0))</f>
        <v/>
      </c>
      <c r="I1055" s="15" t="str">
        <f t="shared" si="17"/>
        <v/>
      </c>
      <c r="J1055" s="16" t="str">
        <f>IF(B1055="","",IF(OR(F1055="",G1055=""),"IC",VLOOKUP(I1055,Scale[],2,1)))</f>
        <v/>
      </c>
    </row>
    <row r="1056" spans="1:10" x14ac:dyDescent="0.35">
      <c r="A1056" s="34"/>
      <c r="B1056" s="35"/>
      <c r="C1056" s="34"/>
      <c r="D1056" s="34"/>
      <c r="E1056" s="34"/>
      <c r="F1056" s="46"/>
      <c r="G1056" s="46"/>
      <c r="H1056" s="14" t="str">
        <f>IF(Assessment_Sheet[[#This Row],[NAME ]]="","",ROUND((G1056/60*40),0))</f>
        <v/>
      </c>
      <c r="I1056" s="15" t="str">
        <f t="shared" si="17"/>
        <v/>
      </c>
      <c r="J1056" s="16" t="str">
        <f>IF(B1056="","",IF(OR(F1056="",G1056=""),"IC",VLOOKUP(I1056,Scale[],2,1)))</f>
        <v/>
      </c>
    </row>
    <row r="1057" spans="1:10" x14ac:dyDescent="0.35">
      <c r="A1057" s="34"/>
      <c r="B1057" s="35"/>
      <c r="C1057" s="34"/>
      <c r="D1057" s="34"/>
      <c r="E1057" s="34"/>
      <c r="F1057" s="46"/>
      <c r="G1057" s="46"/>
      <c r="H1057" s="14" t="str">
        <f>IF(Assessment_Sheet[[#This Row],[NAME ]]="","",ROUND((G1057/60*40),0))</f>
        <v/>
      </c>
      <c r="I1057" s="15" t="str">
        <f t="shared" si="17"/>
        <v/>
      </c>
      <c r="J1057" s="16" t="str">
        <f>IF(B1057="","",IF(OR(F1057="",G1057=""),"IC",VLOOKUP(I1057,Scale[],2,1)))</f>
        <v/>
      </c>
    </row>
    <row r="1058" spans="1:10" x14ac:dyDescent="0.35">
      <c r="A1058" s="34"/>
      <c r="B1058" s="35"/>
      <c r="C1058" s="34"/>
      <c r="D1058" s="34"/>
      <c r="E1058" s="34"/>
      <c r="F1058" s="46"/>
      <c r="G1058" s="46"/>
      <c r="H1058" s="14" t="str">
        <f>IF(Assessment_Sheet[[#This Row],[NAME ]]="","",ROUND((G1058/60*40),0))</f>
        <v/>
      </c>
      <c r="I1058" s="15" t="str">
        <f t="shared" si="17"/>
        <v/>
      </c>
      <c r="J1058" s="16" t="str">
        <f>IF(B1058="","",IF(OR(F1058="",G1058=""),"IC",VLOOKUP(I1058,Scale[],2,1)))</f>
        <v/>
      </c>
    </row>
    <row r="1059" spans="1:10" x14ac:dyDescent="0.35">
      <c r="A1059" s="34"/>
      <c r="B1059" s="35"/>
      <c r="C1059" s="34"/>
      <c r="D1059" s="34"/>
      <c r="E1059" s="34"/>
      <c r="F1059" s="46"/>
      <c r="G1059" s="46"/>
      <c r="H1059" s="14" t="str">
        <f>IF(Assessment_Sheet[[#This Row],[NAME ]]="","",ROUND((G1059/60*40),0))</f>
        <v/>
      </c>
      <c r="I1059" s="15" t="str">
        <f t="shared" si="17"/>
        <v/>
      </c>
      <c r="J1059" s="16" t="str">
        <f>IF(B1059="","",IF(OR(F1059="",G1059=""),"IC",VLOOKUP(I1059,Scale[],2,1)))</f>
        <v/>
      </c>
    </row>
    <row r="1060" spans="1:10" x14ac:dyDescent="0.35">
      <c r="A1060" s="34"/>
      <c r="B1060" s="35"/>
      <c r="C1060" s="34"/>
      <c r="D1060" s="34"/>
      <c r="E1060" s="34"/>
      <c r="F1060" s="46"/>
      <c r="G1060" s="46"/>
      <c r="H1060" s="14" t="str">
        <f>IF(Assessment_Sheet[[#This Row],[NAME ]]="","",ROUND((G1060/60*40),0))</f>
        <v/>
      </c>
      <c r="I1060" s="15" t="str">
        <f t="shared" si="17"/>
        <v/>
      </c>
      <c r="J1060" s="16" t="str">
        <f>IF(B1060="","",IF(OR(F1060="",G1060=""),"IC",VLOOKUP(I1060,Scale[],2,1)))</f>
        <v/>
      </c>
    </row>
    <row r="1061" spans="1:10" x14ac:dyDescent="0.35">
      <c r="A1061" s="34"/>
      <c r="B1061" s="35"/>
      <c r="C1061" s="34"/>
      <c r="D1061" s="34"/>
      <c r="E1061" s="34"/>
      <c r="F1061" s="46"/>
      <c r="G1061" s="46"/>
      <c r="H1061" s="14" t="str">
        <f>IF(Assessment_Sheet[[#This Row],[NAME ]]="","",ROUND((G1061/60*40),0))</f>
        <v/>
      </c>
      <c r="I1061" s="15" t="str">
        <f t="shared" si="17"/>
        <v/>
      </c>
      <c r="J1061" s="16" t="str">
        <f>IF(B1061="","",IF(OR(F1061="",G1061=""),"IC",VLOOKUP(I1061,Scale[],2,1)))</f>
        <v/>
      </c>
    </row>
    <row r="1062" spans="1:10" x14ac:dyDescent="0.35">
      <c r="A1062" s="34"/>
      <c r="B1062" s="35"/>
      <c r="C1062" s="34"/>
      <c r="D1062" s="34"/>
      <c r="E1062" s="34"/>
      <c r="F1062" s="46"/>
      <c r="G1062" s="46"/>
      <c r="H1062" s="14" t="str">
        <f>IF(Assessment_Sheet[[#This Row],[NAME ]]="","",ROUND((G1062/60*40),0))</f>
        <v/>
      </c>
      <c r="I1062" s="15" t="str">
        <f t="shared" si="17"/>
        <v/>
      </c>
      <c r="J1062" s="16" t="str">
        <f>IF(B1062="","",IF(OR(F1062="",G1062=""),"IC",VLOOKUP(I1062,Scale[],2,1)))</f>
        <v/>
      </c>
    </row>
    <row r="1063" spans="1:10" x14ac:dyDescent="0.35">
      <c r="A1063" s="34"/>
      <c r="B1063" s="35"/>
      <c r="C1063" s="34"/>
      <c r="D1063" s="34"/>
      <c r="E1063" s="34"/>
      <c r="F1063" s="46"/>
      <c r="G1063" s="46"/>
      <c r="H1063" s="14" t="str">
        <f>IF(Assessment_Sheet[[#This Row],[NAME ]]="","",ROUND((G1063/60*40),0))</f>
        <v/>
      </c>
      <c r="I1063" s="15" t="str">
        <f t="shared" si="17"/>
        <v/>
      </c>
      <c r="J1063" s="16" t="str">
        <f>IF(B1063="","",IF(OR(F1063="",G1063=""),"IC",VLOOKUP(I1063,Scale[],2,1)))</f>
        <v/>
      </c>
    </row>
    <row r="1064" spans="1:10" x14ac:dyDescent="0.35">
      <c r="A1064" s="34"/>
      <c r="B1064" s="35"/>
      <c r="C1064" s="34"/>
      <c r="D1064" s="34"/>
      <c r="E1064" s="34"/>
      <c r="F1064" s="46"/>
      <c r="G1064" s="46"/>
      <c r="H1064" s="14" t="str">
        <f>IF(Assessment_Sheet[[#This Row],[NAME ]]="","",ROUND((G1064/60*40),0))</f>
        <v/>
      </c>
      <c r="I1064" s="15" t="str">
        <f t="shared" si="17"/>
        <v/>
      </c>
      <c r="J1064" s="16" t="str">
        <f>IF(B1064="","",IF(OR(F1064="",G1064=""),"IC",VLOOKUP(I1064,Scale[],2,1)))</f>
        <v/>
      </c>
    </row>
    <row r="1065" spans="1:10" x14ac:dyDescent="0.35">
      <c r="A1065" s="34"/>
      <c r="B1065" s="35"/>
      <c r="C1065" s="34"/>
      <c r="D1065" s="34"/>
      <c r="E1065" s="34"/>
      <c r="F1065" s="46"/>
      <c r="G1065" s="46"/>
      <c r="H1065" s="14" t="str">
        <f>IF(Assessment_Sheet[[#This Row],[NAME ]]="","",ROUND((G1065/60*40),0))</f>
        <v/>
      </c>
      <c r="I1065" s="15" t="str">
        <f t="shared" si="17"/>
        <v/>
      </c>
      <c r="J1065" s="16" t="str">
        <f>IF(B1065="","",IF(OR(F1065="",G1065=""),"IC",VLOOKUP(I1065,Scale[],2,1)))</f>
        <v/>
      </c>
    </row>
    <row r="1066" spans="1:10" x14ac:dyDescent="0.35">
      <c r="A1066" s="34"/>
      <c r="B1066" s="35"/>
      <c r="C1066" s="34"/>
      <c r="D1066" s="34"/>
      <c r="E1066" s="34"/>
      <c r="F1066" s="46"/>
      <c r="G1066" s="46"/>
      <c r="H1066" s="14" t="str">
        <f>IF(Assessment_Sheet[[#This Row],[NAME ]]="","",ROUND((G1066/60*40),0))</f>
        <v/>
      </c>
      <c r="I1066" s="15" t="str">
        <f t="shared" si="17"/>
        <v/>
      </c>
      <c r="J1066" s="16" t="str">
        <f>IF(B1066="","",IF(OR(F1066="",G1066=""),"IC",VLOOKUP(I1066,Scale[],2,1)))</f>
        <v/>
      </c>
    </row>
    <row r="1067" spans="1:10" x14ac:dyDescent="0.35">
      <c r="A1067" s="34"/>
      <c r="B1067" s="35"/>
      <c r="C1067" s="34"/>
      <c r="D1067" s="34"/>
      <c r="E1067" s="34"/>
      <c r="F1067" s="46"/>
      <c r="G1067" s="46"/>
      <c r="H1067" s="14" t="str">
        <f>IF(Assessment_Sheet[[#This Row],[NAME ]]="","",ROUND((G1067/60*40),0))</f>
        <v/>
      </c>
      <c r="I1067" s="15" t="str">
        <f t="shared" si="17"/>
        <v/>
      </c>
      <c r="J1067" s="16" t="str">
        <f>IF(B1067="","",IF(OR(F1067="",G1067=""),"IC",VLOOKUP(I1067,Scale[],2,1)))</f>
        <v/>
      </c>
    </row>
    <row r="1068" spans="1:10" x14ac:dyDescent="0.35">
      <c r="A1068" s="34"/>
      <c r="B1068" s="35"/>
      <c r="C1068" s="34"/>
      <c r="D1068" s="34"/>
      <c r="E1068" s="34"/>
      <c r="F1068" s="46"/>
      <c r="G1068" s="46"/>
      <c r="H1068" s="14" t="str">
        <f>IF(Assessment_Sheet[[#This Row],[NAME ]]="","",ROUND((G1068/60*40),0))</f>
        <v/>
      </c>
      <c r="I1068" s="15" t="str">
        <f t="shared" si="17"/>
        <v/>
      </c>
      <c r="J1068" s="16" t="str">
        <f>IF(B1068="","",IF(OR(F1068="",G1068=""),"IC",VLOOKUP(I1068,Scale[],2,1)))</f>
        <v/>
      </c>
    </row>
    <row r="1069" spans="1:10" x14ac:dyDescent="0.35">
      <c r="A1069" s="34"/>
      <c r="B1069" s="35"/>
      <c r="C1069" s="34"/>
      <c r="D1069" s="34"/>
      <c r="E1069" s="34"/>
      <c r="F1069" s="46"/>
      <c r="G1069" s="46"/>
      <c r="H1069" s="14" t="str">
        <f>IF(Assessment_Sheet[[#This Row],[NAME ]]="","",ROUND((G1069/60*40),0))</f>
        <v/>
      </c>
      <c r="I1069" s="15" t="str">
        <f t="shared" si="17"/>
        <v/>
      </c>
      <c r="J1069" s="16" t="str">
        <f>IF(B1069="","",IF(OR(F1069="",G1069=""),"IC",VLOOKUP(I1069,Scale[],2,1)))</f>
        <v/>
      </c>
    </row>
    <row r="1070" spans="1:10" x14ac:dyDescent="0.35">
      <c r="A1070" s="34"/>
      <c r="B1070" s="35"/>
      <c r="C1070" s="34"/>
      <c r="D1070" s="34"/>
      <c r="E1070" s="34"/>
      <c r="F1070" s="46"/>
      <c r="G1070" s="46"/>
      <c r="H1070" s="14" t="str">
        <f>IF(Assessment_Sheet[[#This Row],[NAME ]]="","",ROUND((G1070/60*40),0))</f>
        <v/>
      </c>
      <c r="I1070" s="15" t="str">
        <f t="shared" si="17"/>
        <v/>
      </c>
      <c r="J1070" s="16" t="str">
        <f>IF(B1070="","",IF(OR(F1070="",G1070=""),"IC",VLOOKUP(I1070,Scale[],2,1)))</f>
        <v/>
      </c>
    </row>
    <row r="1071" spans="1:10" x14ac:dyDescent="0.35">
      <c r="A1071" s="34"/>
      <c r="B1071" s="35"/>
      <c r="C1071" s="34"/>
      <c r="D1071" s="34"/>
      <c r="E1071" s="34"/>
      <c r="F1071" s="46"/>
      <c r="G1071" s="46"/>
      <c r="H1071" s="14" t="str">
        <f>IF(Assessment_Sheet[[#This Row],[NAME ]]="","",ROUND((G1071/60*40),0))</f>
        <v/>
      </c>
      <c r="I1071" s="15" t="str">
        <f t="shared" si="17"/>
        <v/>
      </c>
      <c r="J1071" s="16" t="str">
        <f>IF(B1071="","",IF(OR(F1071="",G1071=""),"IC",VLOOKUP(I1071,Scale[],2,1)))</f>
        <v/>
      </c>
    </row>
    <row r="1072" spans="1:10" x14ac:dyDescent="0.35">
      <c r="A1072" s="34"/>
      <c r="B1072" s="35"/>
      <c r="C1072" s="34"/>
      <c r="D1072" s="34"/>
      <c r="E1072" s="34"/>
      <c r="F1072" s="46"/>
      <c r="G1072" s="46"/>
      <c r="H1072" s="14" t="str">
        <f>IF(Assessment_Sheet[[#This Row],[NAME ]]="","",ROUND((G1072/60*40),0))</f>
        <v/>
      </c>
      <c r="I1072" s="15" t="str">
        <f t="shared" si="17"/>
        <v/>
      </c>
      <c r="J1072" s="16" t="str">
        <f>IF(B1072="","",IF(OR(F1072="",G1072=""),"IC",VLOOKUP(I1072,Scale[],2,1)))</f>
        <v/>
      </c>
    </row>
    <row r="1073" spans="1:10" x14ac:dyDescent="0.35">
      <c r="A1073" s="34"/>
      <c r="B1073" s="35"/>
      <c r="C1073" s="34"/>
      <c r="D1073" s="34"/>
      <c r="E1073" s="34"/>
      <c r="F1073" s="46"/>
      <c r="G1073" s="46"/>
      <c r="H1073" s="14" t="str">
        <f>IF(Assessment_Sheet[[#This Row],[NAME ]]="","",ROUND((G1073/60*40),0))</f>
        <v/>
      </c>
      <c r="I1073" s="15" t="str">
        <f t="shared" si="17"/>
        <v/>
      </c>
      <c r="J1073" s="16" t="str">
        <f>IF(B1073="","",IF(OR(F1073="",G1073=""),"IC",VLOOKUP(I1073,Scale[],2,1)))</f>
        <v/>
      </c>
    </row>
    <row r="1074" spans="1:10" x14ac:dyDescent="0.35">
      <c r="A1074" s="34"/>
      <c r="B1074" s="35"/>
      <c r="C1074" s="34"/>
      <c r="D1074" s="34"/>
      <c r="E1074" s="34"/>
      <c r="F1074" s="46"/>
      <c r="G1074" s="46"/>
      <c r="H1074" s="14" t="str">
        <f>IF(Assessment_Sheet[[#This Row],[NAME ]]="","",ROUND((G1074/60*40),0))</f>
        <v/>
      </c>
      <c r="I1074" s="15" t="str">
        <f t="shared" si="17"/>
        <v/>
      </c>
      <c r="J1074" s="16" t="str">
        <f>IF(B1074="","",IF(OR(F1074="",G1074=""),"IC",VLOOKUP(I1074,Scale[],2,1)))</f>
        <v/>
      </c>
    </row>
    <row r="1075" spans="1:10" x14ac:dyDescent="0.35">
      <c r="A1075" s="34"/>
      <c r="B1075" s="35"/>
      <c r="C1075" s="34"/>
      <c r="D1075" s="34"/>
      <c r="E1075" s="34"/>
      <c r="F1075" s="46"/>
      <c r="G1075" s="46"/>
      <c r="H1075" s="14" t="str">
        <f>IF(Assessment_Sheet[[#This Row],[NAME ]]="","",ROUND((G1075/60*40),0))</f>
        <v/>
      </c>
      <c r="I1075" s="15" t="str">
        <f t="shared" si="17"/>
        <v/>
      </c>
      <c r="J1075" s="16" t="str">
        <f>IF(B1075="","",IF(OR(F1075="",G1075=""),"IC",VLOOKUP(I1075,Scale[],2,1)))</f>
        <v/>
      </c>
    </row>
    <row r="1076" spans="1:10" x14ac:dyDescent="0.35">
      <c r="A1076" s="34"/>
      <c r="B1076" s="35"/>
      <c r="C1076" s="34"/>
      <c r="D1076" s="34"/>
      <c r="E1076" s="34"/>
      <c r="F1076" s="46"/>
      <c r="G1076" s="46"/>
      <c r="H1076" s="14" t="str">
        <f>IF(Assessment_Sheet[[#This Row],[NAME ]]="","",ROUND((G1076/60*40),0))</f>
        <v/>
      </c>
      <c r="I1076" s="15" t="str">
        <f t="shared" si="17"/>
        <v/>
      </c>
      <c r="J1076" s="16" t="str">
        <f>IF(B1076="","",IF(OR(F1076="",G1076=""),"IC",VLOOKUP(I1076,Scale[],2,1)))</f>
        <v/>
      </c>
    </row>
    <row r="1077" spans="1:10" x14ac:dyDescent="0.35">
      <c r="A1077" s="34"/>
      <c r="B1077" s="35"/>
      <c r="C1077" s="34"/>
      <c r="D1077" s="34"/>
      <c r="E1077" s="34"/>
      <c r="F1077" s="46"/>
      <c r="G1077" s="46"/>
      <c r="H1077" s="14" t="str">
        <f>IF(Assessment_Sheet[[#This Row],[NAME ]]="","",ROUND((G1077/60*40),0))</f>
        <v/>
      </c>
      <c r="I1077" s="15" t="str">
        <f t="shared" si="17"/>
        <v/>
      </c>
      <c r="J1077" s="16" t="str">
        <f>IF(B1077="","",IF(OR(F1077="",G1077=""),"IC",VLOOKUP(I1077,Scale[],2,1)))</f>
        <v/>
      </c>
    </row>
    <row r="1078" spans="1:10" x14ac:dyDescent="0.35">
      <c r="A1078" s="34"/>
      <c r="B1078" s="35"/>
      <c r="C1078" s="34"/>
      <c r="D1078" s="34"/>
      <c r="E1078" s="34"/>
      <c r="F1078" s="46"/>
      <c r="G1078" s="46"/>
      <c r="H1078" s="14" t="str">
        <f>IF(Assessment_Sheet[[#This Row],[NAME ]]="","",ROUND((G1078/60*40),0))</f>
        <v/>
      </c>
      <c r="I1078" s="15" t="str">
        <f t="shared" si="17"/>
        <v/>
      </c>
      <c r="J1078" s="16" t="str">
        <f>IF(B1078="","",IF(OR(F1078="",G1078=""),"IC",VLOOKUP(I1078,Scale[],2,1)))</f>
        <v/>
      </c>
    </row>
    <row r="1079" spans="1:10" x14ac:dyDescent="0.35">
      <c r="A1079" s="34"/>
      <c r="B1079" s="35"/>
      <c r="C1079" s="34"/>
      <c r="D1079" s="34"/>
      <c r="E1079" s="34"/>
      <c r="F1079" s="46"/>
      <c r="G1079" s="46"/>
      <c r="H1079" s="14" t="str">
        <f>IF(Assessment_Sheet[[#This Row],[NAME ]]="","",ROUND((G1079/60*40),0))</f>
        <v/>
      </c>
      <c r="I1079" s="15" t="str">
        <f t="shared" si="17"/>
        <v/>
      </c>
      <c r="J1079" s="16" t="str">
        <f>IF(B1079="","",IF(OR(F1079="",G1079=""),"IC",VLOOKUP(I1079,Scale[],2,1)))</f>
        <v/>
      </c>
    </row>
    <row r="1080" spans="1:10" x14ac:dyDescent="0.35">
      <c r="A1080" s="34"/>
      <c r="B1080" s="35"/>
      <c r="C1080" s="34"/>
      <c r="D1080" s="34"/>
      <c r="E1080" s="34"/>
      <c r="F1080" s="46"/>
      <c r="G1080" s="46"/>
      <c r="H1080" s="14" t="str">
        <f>IF(Assessment_Sheet[[#This Row],[NAME ]]="","",ROUND((G1080/60*40),0))</f>
        <v/>
      </c>
      <c r="I1080" s="15" t="str">
        <f t="shared" si="17"/>
        <v/>
      </c>
      <c r="J1080" s="16" t="str">
        <f>IF(B1080="","",IF(OR(F1080="",G1080=""),"IC",VLOOKUP(I1080,Scale[],2,1)))</f>
        <v/>
      </c>
    </row>
    <row r="1081" spans="1:10" x14ac:dyDescent="0.35">
      <c r="A1081" s="34"/>
      <c r="B1081" s="35"/>
      <c r="C1081" s="34"/>
      <c r="D1081" s="34"/>
      <c r="E1081" s="34"/>
      <c r="F1081" s="46"/>
      <c r="G1081" s="46"/>
      <c r="H1081" s="14" t="str">
        <f>IF(Assessment_Sheet[[#This Row],[NAME ]]="","",ROUND((G1081/60*40),0))</f>
        <v/>
      </c>
      <c r="I1081" s="15" t="str">
        <f t="shared" si="17"/>
        <v/>
      </c>
      <c r="J1081" s="16" t="str">
        <f>IF(B1081="","",IF(OR(F1081="",G1081=""),"IC",VLOOKUP(I1081,Scale[],2,1)))</f>
        <v/>
      </c>
    </row>
    <row r="1082" spans="1:10" x14ac:dyDescent="0.35">
      <c r="A1082" s="34"/>
      <c r="B1082" s="35"/>
      <c r="C1082" s="34"/>
      <c r="D1082" s="34"/>
      <c r="E1082" s="34"/>
      <c r="F1082" s="46"/>
      <c r="G1082" s="46"/>
      <c r="H1082" s="14" t="str">
        <f>IF(Assessment_Sheet[[#This Row],[NAME ]]="","",ROUND((G1082/60*40),0))</f>
        <v/>
      </c>
      <c r="I1082" s="15" t="str">
        <f t="shared" si="17"/>
        <v/>
      </c>
      <c r="J1082" s="16" t="str">
        <f>IF(B1082="","",IF(OR(F1082="",G1082=""),"IC",VLOOKUP(I1082,Scale[],2,1)))</f>
        <v/>
      </c>
    </row>
    <row r="1083" spans="1:10" x14ac:dyDescent="0.35">
      <c r="A1083" s="34"/>
      <c r="B1083" s="35"/>
      <c r="C1083" s="34"/>
      <c r="D1083" s="34"/>
      <c r="E1083" s="34"/>
      <c r="F1083" s="46"/>
      <c r="G1083" s="46"/>
      <c r="H1083" s="14" t="str">
        <f>IF(Assessment_Sheet[[#This Row],[NAME ]]="","",ROUND((G1083/60*40),0))</f>
        <v/>
      </c>
      <c r="I1083" s="15" t="str">
        <f t="shared" si="17"/>
        <v/>
      </c>
      <c r="J1083" s="16" t="str">
        <f>IF(B1083="","",IF(OR(F1083="",G1083=""),"IC",VLOOKUP(I1083,Scale[],2,1)))</f>
        <v/>
      </c>
    </row>
    <row r="1084" spans="1:10" x14ac:dyDescent="0.35">
      <c r="A1084" s="34"/>
      <c r="B1084" s="35"/>
      <c r="C1084" s="34"/>
      <c r="D1084" s="34"/>
      <c r="E1084" s="34"/>
      <c r="F1084" s="46"/>
      <c r="G1084" s="46"/>
      <c r="H1084" s="14" t="str">
        <f>IF(Assessment_Sheet[[#This Row],[NAME ]]="","",ROUND((G1084/60*40),0))</f>
        <v/>
      </c>
      <c r="I1084" s="15" t="str">
        <f t="shared" si="17"/>
        <v/>
      </c>
      <c r="J1084" s="16" t="str">
        <f>IF(B1084="","",IF(OR(F1084="",G1084=""),"IC",VLOOKUP(I1084,Scale[],2,1)))</f>
        <v/>
      </c>
    </row>
    <row r="1085" spans="1:10" x14ac:dyDescent="0.35">
      <c r="A1085" s="34"/>
      <c r="B1085" s="35"/>
      <c r="C1085" s="34"/>
      <c r="D1085" s="34"/>
      <c r="E1085" s="34"/>
      <c r="F1085" s="46"/>
      <c r="G1085" s="46"/>
      <c r="H1085" s="14" t="str">
        <f>IF(Assessment_Sheet[[#This Row],[NAME ]]="","",ROUND((G1085/60*40),0))</f>
        <v/>
      </c>
      <c r="I1085" s="15" t="str">
        <f t="shared" si="17"/>
        <v/>
      </c>
      <c r="J1085" s="16" t="str">
        <f>IF(B1085="","",IF(OR(F1085="",G1085=""),"IC",VLOOKUP(I1085,Scale[],2,1)))</f>
        <v/>
      </c>
    </row>
    <row r="1086" spans="1:10" x14ac:dyDescent="0.35">
      <c r="A1086" s="34"/>
      <c r="B1086" s="35"/>
      <c r="C1086" s="34"/>
      <c r="D1086" s="34"/>
      <c r="E1086" s="34"/>
      <c r="F1086" s="46"/>
      <c r="G1086" s="46"/>
      <c r="H1086" s="14" t="str">
        <f>IF(Assessment_Sheet[[#This Row],[NAME ]]="","",ROUND((G1086/60*40),0))</f>
        <v/>
      </c>
      <c r="I1086" s="15" t="str">
        <f t="shared" si="17"/>
        <v/>
      </c>
      <c r="J1086" s="16" t="str">
        <f>IF(B1086="","",IF(OR(F1086="",G1086=""),"IC",VLOOKUP(I1086,Scale[],2,1)))</f>
        <v/>
      </c>
    </row>
    <row r="1087" spans="1:10" x14ac:dyDescent="0.35">
      <c r="A1087" s="34"/>
      <c r="B1087" s="35"/>
      <c r="C1087" s="34"/>
      <c r="D1087" s="34"/>
      <c r="E1087" s="34"/>
      <c r="F1087" s="46"/>
      <c r="G1087" s="46"/>
      <c r="H1087" s="14" t="str">
        <f>IF(Assessment_Sheet[[#This Row],[NAME ]]="","",ROUND((G1087/60*40),0))</f>
        <v/>
      </c>
      <c r="I1087" s="15" t="str">
        <f t="shared" si="17"/>
        <v/>
      </c>
      <c r="J1087" s="16" t="str">
        <f>IF(B1087="","",IF(OR(F1087="",G1087=""),"IC",VLOOKUP(I1087,Scale[],2,1)))</f>
        <v/>
      </c>
    </row>
    <row r="1088" spans="1:10" x14ac:dyDescent="0.35">
      <c r="A1088" s="34"/>
      <c r="B1088" s="35"/>
      <c r="C1088" s="34"/>
      <c r="D1088" s="34"/>
      <c r="E1088" s="34"/>
      <c r="F1088" s="46"/>
      <c r="G1088" s="46"/>
      <c r="H1088" s="14" t="str">
        <f>IF(Assessment_Sheet[[#This Row],[NAME ]]="","",ROUND((G1088/60*40),0))</f>
        <v/>
      </c>
      <c r="I1088" s="15" t="str">
        <f t="shared" si="17"/>
        <v/>
      </c>
      <c r="J1088" s="16" t="str">
        <f>IF(B1088="","",IF(OR(F1088="",G1088=""),"IC",VLOOKUP(I1088,Scale[],2,1)))</f>
        <v/>
      </c>
    </row>
    <row r="1089" spans="1:10" x14ac:dyDescent="0.35">
      <c r="A1089" s="34"/>
      <c r="B1089" s="35"/>
      <c r="C1089" s="34"/>
      <c r="D1089" s="34"/>
      <c r="E1089" s="34"/>
      <c r="F1089" s="46"/>
      <c r="G1089" s="46"/>
      <c r="H1089" s="14" t="str">
        <f>IF(Assessment_Sheet[[#This Row],[NAME ]]="","",ROUND((G1089/60*40),0))</f>
        <v/>
      </c>
      <c r="I1089" s="15" t="str">
        <f t="shared" si="17"/>
        <v/>
      </c>
      <c r="J1089" s="16" t="str">
        <f>IF(B1089="","",IF(OR(F1089="",G1089=""),"IC",VLOOKUP(I1089,Scale[],2,1)))</f>
        <v/>
      </c>
    </row>
    <row r="1090" spans="1:10" x14ac:dyDescent="0.35">
      <c r="A1090" s="34"/>
      <c r="B1090" s="35"/>
      <c r="C1090" s="34"/>
      <c r="D1090" s="34"/>
      <c r="E1090" s="34"/>
      <c r="F1090" s="46"/>
      <c r="G1090" s="46"/>
      <c r="H1090" s="14" t="str">
        <f>IF(Assessment_Sheet[[#This Row],[NAME ]]="","",ROUND((G1090/60*40),0))</f>
        <v/>
      </c>
      <c r="I1090" s="15" t="str">
        <f t="shared" si="17"/>
        <v/>
      </c>
      <c r="J1090" s="16" t="str">
        <f>IF(B1090="","",IF(OR(F1090="",G1090=""),"IC",VLOOKUP(I1090,Scale[],2,1)))</f>
        <v/>
      </c>
    </row>
    <row r="1091" spans="1:10" x14ac:dyDescent="0.35">
      <c r="A1091" s="34"/>
      <c r="B1091" s="35"/>
      <c r="C1091" s="34"/>
      <c r="D1091" s="34"/>
      <c r="E1091" s="34"/>
      <c r="F1091" s="46"/>
      <c r="G1091" s="46"/>
      <c r="H1091" s="14" t="str">
        <f>IF(Assessment_Sheet[[#This Row],[NAME ]]="","",ROUND((G1091/60*40),0))</f>
        <v/>
      </c>
      <c r="I1091" s="15" t="str">
        <f t="shared" si="17"/>
        <v/>
      </c>
      <c r="J1091" s="16" t="str">
        <f>IF(B1091="","",IF(OR(F1091="",G1091=""),"IC",VLOOKUP(I1091,Scale[],2,1)))</f>
        <v/>
      </c>
    </row>
    <row r="1092" spans="1:10" x14ac:dyDescent="0.35">
      <c r="A1092" s="34"/>
      <c r="B1092" s="35"/>
      <c r="C1092" s="34"/>
      <c r="D1092" s="34"/>
      <c r="E1092" s="34"/>
      <c r="F1092" s="46"/>
      <c r="G1092" s="46"/>
      <c r="H1092" s="14" t="str">
        <f>IF(Assessment_Sheet[[#This Row],[NAME ]]="","",ROUND((G1092/60*40),0))</f>
        <v/>
      </c>
      <c r="I1092" s="15" t="str">
        <f t="shared" si="17"/>
        <v/>
      </c>
      <c r="J1092" s="16" t="str">
        <f>IF(B1092="","",IF(OR(F1092="",G1092=""),"IC",VLOOKUP(I1092,Scale[],2,1)))</f>
        <v/>
      </c>
    </row>
    <row r="1093" spans="1:10" x14ac:dyDescent="0.35">
      <c r="A1093" s="34"/>
      <c r="B1093" s="35"/>
      <c r="C1093" s="34"/>
      <c r="D1093" s="34"/>
      <c r="E1093" s="34"/>
      <c r="F1093" s="46"/>
      <c r="G1093" s="46"/>
      <c r="H1093" s="14" t="str">
        <f>IF(Assessment_Sheet[[#This Row],[NAME ]]="","",ROUND((G1093/60*40),0))</f>
        <v/>
      </c>
      <c r="I1093" s="15" t="str">
        <f t="shared" si="17"/>
        <v/>
      </c>
      <c r="J1093" s="16" t="str">
        <f>IF(B1093="","",IF(OR(F1093="",G1093=""),"IC",VLOOKUP(I1093,Scale[],2,1)))</f>
        <v/>
      </c>
    </row>
    <row r="1094" spans="1:10" x14ac:dyDescent="0.35">
      <c r="A1094" s="34"/>
      <c r="B1094" s="35"/>
      <c r="C1094" s="34"/>
      <c r="D1094" s="34"/>
      <c r="E1094" s="34"/>
      <c r="F1094" s="46"/>
      <c r="G1094" s="46"/>
      <c r="H1094" s="14" t="str">
        <f>IF(Assessment_Sheet[[#This Row],[NAME ]]="","",ROUND((G1094/60*40),0))</f>
        <v/>
      </c>
      <c r="I1094" s="15" t="str">
        <f t="shared" si="17"/>
        <v/>
      </c>
      <c r="J1094" s="16" t="str">
        <f>IF(B1094="","",IF(OR(F1094="",G1094=""),"IC",VLOOKUP(I1094,Scale[],2,1)))</f>
        <v/>
      </c>
    </row>
    <row r="1095" spans="1:10" x14ac:dyDescent="0.35">
      <c r="A1095" s="34"/>
      <c r="B1095" s="35"/>
      <c r="C1095" s="34"/>
      <c r="D1095" s="34"/>
      <c r="E1095" s="34"/>
      <c r="F1095" s="46"/>
      <c r="G1095" s="46"/>
      <c r="H1095" s="14" t="str">
        <f>IF(Assessment_Sheet[[#This Row],[NAME ]]="","",ROUND((G1095/60*40),0))</f>
        <v/>
      </c>
      <c r="I1095" s="15" t="str">
        <f t="shared" si="17"/>
        <v/>
      </c>
      <c r="J1095" s="16" t="str">
        <f>IF(B1095="","",IF(OR(F1095="",G1095=""),"IC",VLOOKUP(I1095,Scale[],2,1)))</f>
        <v/>
      </c>
    </row>
    <row r="1096" spans="1:10" x14ac:dyDescent="0.35">
      <c r="A1096" s="34"/>
      <c r="B1096" s="35"/>
      <c r="C1096" s="34"/>
      <c r="D1096" s="34"/>
      <c r="E1096" s="34"/>
      <c r="F1096" s="46"/>
      <c r="G1096" s="46"/>
      <c r="H1096" s="14" t="str">
        <f>IF(Assessment_Sheet[[#This Row],[NAME ]]="","",ROUND((G1096/60*40),0))</f>
        <v/>
      </c>
      <c r="I1096" s="15" t="str">
        <f t="shared" ref="I1096:I1159" si="18">IFERROR(ROUND((F1096+H1096),0),"")</f>
        <v/>
      </c>
      <c r="J1096" s="16" t="str">
        <f>IF(B1096="","",IF(OR(F1096="",G1096=""),"IC",VLOOKUP(I1096,Scale[],2,1)))</f>
        <v/>
      </c>
    </row>
    <row r="1097" spans="1:10" x14ac:dyDescent="0.35">
      <c r="A1097" s="34"/>
      <c r="B1097" s="35"/>
      <c r="C1097" s="34"/>
      <c r="D1097" s="34"/>
      <c r="E1097" s="34"/>
      <c r="F1097" s="46"/>
      <c r="G1097" s="46"/>
      <c r="H1097" s="14" t="str">
        <f>IF(Assessment_Sheet[[#This Row],[NAME ]]="","",ROUND((G1097/60*40),0))</f>
        <v/>
      </c>
      <c r="I1097" s="15" t="str">
        <f t="shared" si="18"/>
        <v/>
      </c>
      <c r="J1097" s="16" t="str">
        <f>IF(B1097="","",IF(OR(F1097="",G1097=""),"IC",VLOOKUP(I1097,Scale[],2,1)))</f>
        <v/>
      </c>
    </row>
    <row r="1098" spans="1:10" x14ac:dyDescent="0.35">
      <c r="A1098" s="34"/>
      <c r="B1098" s="35"/>
      <c r="C1098" s="34"/>
      <c r="D1098" s="34"/>
      <c r="E1098" s="34"/>
      <c r="F1098" s="46"/>
      <c r="G1098" s="46"/>
      <c r="H1098" s="14" t="str">
        <f>IF(Assessment_Sheet[[#This Row],[NAME ]]="","",ROUND((G1098/60*40),0))</f>
        <v/>
      </c>
      <c r="I1098" s="15" t="str">
        <f t="shared" si="18"/>
        <v/>
      </c>
      <c r="J1098" s="16" t="str">
        <f>IF(B1098="","",IF(OR(F1098="",G1098=""),"IC",VLOOKUP(I1098,Scale[],2,1)))</f>
        <v/>
      </c>
    </row>
    <row r="1099" spans="1:10" x14ac:dyDescent="0.35">
      <c r="A1099" s="34"/>
      <c r="B1099" s="35"/>
      <c r="C1099" s="34"/>
      <c r="D1099" s="34"/>
      <c r="E1099" s="34"/>
      <c r="F1099" s="46"/>
      <c r="G1099" s="46"/>
      <c r="H1099" s="14" t="str">
        <f>IF(Assessment_Sheet[[#This Row],[NAME ]]="","",ROUND((G1099/60*40),0))</f>
        <v/>
      </c>
      <c r="I1099" s="15" t="str">
        <f t="shared" si="18"/>
        <v/>
      </c>
      <c r="J1099" s="16" t="str">
        <f>IF(B1099="","",IF(OR(F1099="",G1099=""),"IC",VLOOKUP(I1099,Scale[],2,1)))</f>
        <v/>
      </c>
    </row>
    <row r="1100" spans="1:10" x14ac:dyDescent="0.35">
      <c r="A1100" s="34"/>
      <c r="B1100" s="35"/>
      <c r="C1100" s="34"/>
      <c r="D1100" s="34"/>
      <c r="E1100" s="34"/>
      <c r="F1100" s="46"/>
      <c r="G1100" s="46"/>
      <c r="H1100" s="14" t="str">
        <f>IF(Assessment_Sheet[[#This Row],[NAME ]]="","",ROUND((G1100/60*40),0))</f>
        <v/>
      </c>
      <c r="I1100" s="15" t="str">
        <f t="shared" si="18"/>
        <v/>
      </c>
      <c r="J1100" s="16" t="str">
        <f>IF(B1100="","",IF(OR(F1100="",G1100=""),"IC",VLOOKUP(I1100,Scale[],2,1)))</f>
        <v/>
      </c>
    </row>
    <row r="1101" spans="1:10" x14ac:dyDescent="0.35">
      <c r="A1101" s="34"/>
      <c r="B1101" s="35"/>
      <c r="C1101" s="34"/>
      <c r="D1101" s="34"/>
      <c r="E1101" s="34"/>
      <c r="F1101" s="46"/>
      <c r="G1101" s="46"/>
      <c r="H1101" s="14" t="str">
        <f>IF(Assessment_Sheet[[#This Row],[NAME ]]="","",ROUND((G1101/60*40),0))</f>
        <v/>
      </c>
      <c r="I1101" s="15" t="str">
        <f t="shared" si="18"/>
        <v/>
      </c>
      <c r="J1101" s="16" t="str">
        <f>IF(B1101="","",IF(OR(F1101="",G1101=""),"IC",VLOOKUP(I1101,Scale[],2,1)))</f>
        <v/>
      </c>
    </row>
    <row r="1102" spans="1:10" x14ac:dyDescent="0.35">
      <c r="A1102" s="34"/>
      <c r="B1102" s="35"/>
      <c r="C1102" s="34"/>
      <c r="D1102" s="34"/>
      <c r="E1102" s="34"/>
      <c r="F1102" s="46"/>
      <c r="G1102" s="46"/>
      <c r="H1102" s="14" t="str">
        <f>IF(Assessment_Sheet[[#This Row],[NAME ]]="","",ROUND((G1102/60*40),0))</f>
        <v/>
      </c>
      <c r="I1102" s="15" t="str">
        <f t="shared" si="18"/>
        <v/>
      </c>
      <c r="J1102" s="16" t="str">
        <f>IF(B1102="","",IF(OR(F1102="",G1102=""),"IC",VLOOKUP(I1102,Scale[],2,1)))</f>
        <v/>
      </c>
    </row>
    <row r="1103" spans="1:10" x14ac:dyDescent="0.35">
      <c r="A1103" s="34"/>
      <c r="B1103" s="35"/>
      <c r="C1103" s="34"/>
      <c r="D1103" s="34"/>
      <c r="E1103" s="34"/>
      <c r="F1103" s="46"/>
      <c r="G1103" s="46"/>
      <c r="H1103" s="14" t="str">
        <f>IF(Assessment_Sheet[[#This Row],[NAME ]]="","",ROUND((G1103/60*40),0))</f>
        <v/>
      </c>
      <c r="I1103" s="15" t="str">
        <f t="shared" si="18"/>
        <v/>
      </c>
      <c r="J1103" s="16" t="str">
        <f>IF(B1103="","",IF(OR(F1103="",G1103=""),"IC",VLOOKUP(I1103,Scale[],2,1)))</f>
        <v/>
      </c>
    </row>
    <row r="1104" spans="1:10" x14ac:dyDescent="0.35">
      <c r="A1104" s="34"/>
      <c r="B1104" s="35"/>
      <c r="C1104" s="34"/>
      <c r="D1104" s="34"/>
      <c r="E1104" s="34"/>
      <c r="F1104" s="46"/>
      <c r="G1104" s="46"/>
      <c r="H1104" s="14" t="str">
        <f>IF(Assessment_Sheet[[#This Row],[NAME ]]="","",ROUND((G1104/60*40),0))</f>
        <v/>
      </c>
      <c r="I1104" s="15" t="str">
        <f t="shared" si="18"/>
        <v/>
      </c>
      <c r="J1104" s="16" t="str">
        <f>IF(B1104="","",IF(OR(F1104="",G1104=""),"IC",VLOOKUP(I1104,Scale[],2,1)))</f>
        <v/>
      </c>
    </row>
    <row r="1105" spans="1:10" x14ac:dyDescent="0.35">
      <c r="A1105" s="34"/>
      <c r="B1105" s="35"/>
      <c r="C1105" s="34"/>
      <c r="D1105" s="34"/>
      <c r="E1105" s="34"/>
      <c r="F1105" s="46"/>
      <c r="G1105" s="46"/>
      <c r="H1105" s="14" t="str">
        <f>IF(Assessment_Sheet[[#This Row],[NAME ]]="","",ROUND((G1105/60*40),0))</f>
        <v/>
      </c>
      <c r="I1105" s="15" t="str">
        <f t="shared" si="18"/>
        <v/>
      </c>
      <c r="J1105" s="16" t="str">
        <f>IF(B1105="","",IF(OR(F1105="",G1105=""),"IC",VLOOKUP(I1105,Scale[],2,1)))</f>
        <v/>
      </c>
    </row>
    <row r="1106" spans="1:10" x14ac:dyDescent="0.35">
      <c r="A1106" s="34"/>
      <c r="B1106" s="35"/>
      <c r="C1106" s="34"/>
      <c r="D1106" s="34"/>
      <c r="E1106" s="34"/>
      <c r="F1106" s="46"/>
      <c r="G1106" s="46"/>
      <c r="H1106" s="14" t="str">
        <f>IF(Assessment_Sheet[[#This Row],[NAME ]]="","",ROUND((G1106/60*40),0))</f>
        <v/>
      </c>
      <c r="I1106" s="15" t="str">
        <f t="shared" si="18"/>
        <v/>
      </c>
      <c r="J1106" s="16" t="str">
        <f>IF(B1106="","",IF(OR(F1106="",G1106=""),"IC",VLOOKUP(I1106,Scale[],2,1)))</f>
        <v/>
      </c>
    </row>
    <row r="1107" spans="1:10" x14ac:dyDescent="0.35">
      <c r="A1107" s="34"/>
      <c r="B1107" s="35"/>
      <c r="C1107" s="34"/>
      <c r="D1107" s="34"/>
      <c r="E1107" s="34"/>
      <c r="F1107" s="46"/>
      <c r="G1107" s="46"/>
      <c r="H1107" s="14" t="str">
        <f>IF(Assessment_Sheet[[#This Row],[NAME ]]="","",ROUND((G1107/60*40),0))</f>
        <v/>
      </c>
      <c r="I1107" s="15" t="str">
        <f t="shared" si="18"/>
        <v/>
      </c>
      <c r="J1107" s="16" t="str">
        <f>IF(B1107="","",IF(OR(F1107="",G1107=""),"IC",VLOOKUP(I1107,Scale[],2,1)))</f>
        <v/>
      </c>
    </row>
    <row r="1108" spans="1:10" x14ac:dyDescent="0.35">
      <c r="A1108" s="34"/>
      <c r="B1108" s="35"/>
      <c r="C1108" s="34"/>
      <c r="D1108" s="34"/>
      <c r="E1108" s="34"/>
      <c r="F1108" s="46"/>
      <c r="G1108" s="46"/>
      <c r="H1108" s="14" t="str">
        <f>IF(Assessment_Sheet[[#This Row],[NAME ]]="","",ROUND((G1108/60*40),0))</f>
        <v/>
      </c>
      <c r="I1108" s="15" t="str">
        <f t="shared" si="18"/>
        <v/>
      </c>
      <c r="J1108" s="16" t="str">
        <f>IF(B1108="","",IF(OR(F1108="",G1108=""),"IC",VLOOKUP(I1108,Scale[],2,1)))</f>
        <v/>
      </c>
    </row>
    <row r="1109" spans="1:10" x14ac:dyDescent="0.35">
      <c r="A1109" s="34"/>
      <c r="B1109" s="35"/>
      <c r="C1109" s="34"/>
      <c r="D1109" s="34"/>
      <c r="E1109" s="34"/>
      <c r="F1109" s="46"/>
      <c r="G1109" s="46"/>
      <c r="H1109" s="14" t="str">
        <f>IF(Assessment_Sheet[[#This Row],[NAME ]]="","",ROUND((G1109/60*40),0))</f>
        <v/>
      </c>
      <c r="I1109" s="15" t="str">
        <f t="shared" si="18"/>
        <v/>
      </c>
      <c r="J1109" s="16" t="str">
        <f>IF(B1109="","",IF(OR(F1109="",G1109=""),"IC",VLOOKUP(I1109,Scale[],2,1)))</f>
        <v/>
      </c>
    </row>
    <row r="1110" spans="1:10" x14ac:dyDescent="0.35">
      <c r="A1110" s="34"/>
      <c r="B1110" s="35"/>
      <c r="C1110" s="34"/>
      <c r="D1110" s="34"/>
      <c r="E1110" s="34"/>
      <c r="F1110" s="46"/>
      <c r="G1110" s="46"/>
      <c r="H1110" s="14" t="str">
        <f>IF(Assessment_Sheet[[#This Row],[NAME ]]="","",ROUND((G1110/60*40),0))</f>
        <v/>
      </c>
      <c r="I1110" s="15" t="str">
        <f t="shared" si="18"/>
        <v/>
      </c>
      <c r="J1110" s="16" t="str">
        <f>IF(B1110="","",IF(OR(F1110="",G1110=""),"IC",VLOOKUP(I1110,Scale[],2,1)))</f>
        <v/>
      </c>
    </row>
    <row r="1111" spans="1:10" x14ac:dyDescent="0.35">
      <c r="A1111" s="34"/>
      <c r="B1111" s="35"/>
      <c r="C1111" s="34"/>
      <c r="D1111" s="34"/>
      <c r="E1111" s="34"/>
      <c r="F1111" s="46"/>
      <c r="G1111" s="46"/>
      <c r="H1111" s="14" t="str">
        <f>IF(Assessment_Sheet[[#This Row],[NAME ]]="","",ROUND((G1111/60*40),0))</f>
        <v/>
      </c>
      <c r="I1111" s="15" t="str">
        <f t="shared" si="18"/>
        <v/>
      </c>
      <c r="J1111" s="16" t="str">
        <f>IF(B1111="","",IF(OR(F1111="",G1111=""),"IC",VLOOKUP(I1111,Scale[],2,1)))</f>
        <v/>
      </c>
    </row>
    <row r="1112" spans="1:10" x14ac:dyDescent="0.35">
      <c r="A1112" s="34"/>
      <c r="B1112" s="35"/>
      <c r="C1112" s="34"/>
      <c r="D1112" s="34"/>
      <c r="E1112" s="34"/>
      <c r="F1112" s="46"/>
      <c r="G1112" s="46"/>
      <c r="H1112" s="14" t="str">
        <f>IF(Assessment_Sheet[[#This Row],[NAME ]]="","",ROUND((G1112/60*40),0))</f>
        <v/>
      </c>
      <c r="I1112" s="15" t="str">
        <f t="shared" si="18"/>
        <v/>
      </c>
      <c r="J1112" s="16" t="str">
        <f>IF(B1112="","",IF(OR(F1112="",G1112=""),"IC",VLOOKUP(I1112,Scale[],2,1)))</f>
        <v/>
      </c>
    </row>
    <row r="1113" spans="1:10" x14ac:dyDescent="0.35">
      <c r="A1113" s="34"/>
      <c r="B1113" s="35"/>
      <c r="C1113" s="34"/>
      <c r="D1113" s="34"/>
      <c r="E1113" s="34"/>
      <c r="F1113" s="46"/>
      <c r="G1113" s="46"/>
      <c r="H1113" s="14" t="str">
        <f>IF(Assessment_Sheet[[#This Row],[NAME ]]="","",ROUND((G1113/60*40),0))</f>
        <v/>
      </c>
      <c r="I1113" s="15" t="str">
        <f t="shared" si="18"/>
        <v/>
      </c>
      <c r="J1113" s="16" t="str">
        <f>IF(B1113="","",IF(OR(F1113="",G1113=""),"IC",VLOOKUP(I1113,Scale[],2,1)))</f>
        <v/>
      </c>
    </row>
    <row r="1114" spans="1:10" x14ac:dyDescent="0.35">
      <c r="A1114" s="34"/>
      <c r="B1114" s="35"/>
      <c r="C1114" s="34"/>
      <c r="D1114" s="34"/>
      <c r="E1114" s="34"/>
      <c r="F1114" s="46"/>
      <c r="G1114" s="46"/>
      <c r="H1114" s="14" t="str">
        <f>IF(Assessment_Sheet[[#This Row],[NAME ]]="","",ROUND((G1114/60*40),0))</f>
        <v/>
      </c>
      <c r="I1114" s="15" t="str">
        <f t="shared" si="18"/>
        <v/>
      </c>
      <c r="J1114" s="16" t="str">
        <f>IF(B1114="","",IF(OR(F1114="",G1114=""),"IC",VLOOKUP(I1114,Scale[],2,1)))</f>
        <v/>
      </c>
    </row>
    <row r="1115" spans="1:10" x14ac:dyDescent="0.35">
      <c r="A1115" s="34"/>
      <c r="B1115" s="35"/>
      <c r="C1115" s="34"/>
      <c r="D1115" s="34"/>
      <c r="E1115" s="34"/>
      <c r="F1115" s="46"/>
      <c r="G1115" s="46"/>
      <c r="H1115" s="14" t="str">
        <f>IF(Assessment_Sheet[[#This Row],[NAME ]]="","",ROUND((G1115/60*40),0))</f>
        <v/>
      </c>
      <c r="I1115" s="15" t="str">
        <f t="shared" si="18"/>
        <v/>
      </c>
      <c r="J1115" s="16" t="str">
        <f>IF(B1115="","",IF(OR(F1115="",G1115=""),"IC",VLOOKUP(I1115,Scale[],2,1)))</f>
        <v/>
      </c>
    </row>
    <row r="1116" spans="1:10" x14ac:dyDescent="0.35">
      <c r="A1116" s="34"/>
      <c r="B1116" s="35"/>
      <c r="C1116" s="34"/>
      <c r="D1116" s="34"/>
      <c r="E1116" s="34"/>
      <c r="F1116" s="46"/>
      <c r="G1116" s="46"/>
      <c r="H1116" s="14" t="str">
        <f>IF(Assessment_Sheet[[#This Row],[NAME ]]="","",ROUND((G1116/60*40),0))</f>
        <v/>
      </c>
      <c r="I1116" s="15" t="str">
        <f t="shared" si="18"/>
        <v/>
      </c>
      <c r="J1116" s="16" t="str">
        <f>IF(B1116="","",IF(OR(F1116="",G1116=""),"IC",VLOOKUP(I1116,Scale[],2,1)))</f>
        <v/>
      </c>
    </row>
    <row r="1117" spans="1:10" x14ac:dyDescent="0.35">
      <c r="A1117" s="34"/>
      <c r="B1117" s="35"/>
      <c r="C1117" s="34"/>
      <c r="D1117" s="34"/>
      <c r="E1117" s="34"/>
      <c r="F1117" s="46"/>
      <c r="G1117" s="46"/>
      <c r="H1117" s="14" t="str">
        <f>IF(Assessment_Sheet[[#This Row],[NAME ]]="","",ROUND((G1117/60*40),0))</f>
        <v/>
      </c>
      <c r="I1117" s="15" t="str">
        <f t="shared" si="18"/>
        <v/>
      </c>
      <c r="J1117" s="16" t="str">
        <f>IF(B1117="","",IF(OR(F1117="",G1117=""),"IC",VLOOKUP(I1117,Scale[],2,1)))</f>
        <v/>
      </c>
    </row>
    <row r="1118" spans="1:10" x14ac:dyDescent="0.35">
      <c r="A1118" s="34"/>
      <c r="B1118" s="35"/>
      <c r="C1118" s="34"/>
      <c r="D1118" s="34"/>
      <c r="E1118" s="34"/>
      <c r="F1118" s="46"/>
      <c r="G1118" s="46"/>
      <c r="H1118" s="14" t="str">
        <f>IF(Assessment_Sheet[[#This Row],[NAME ]]="","",ROUND((G1118/60*40),0))</f>
        <v/>
      </c>
      <c r="I1118" s="15" t="str">
        <f t="shared" si="18"/>
        <v/>
      </c>
      <c r="J1118" s="16" t="str">
        <f>IF(B1118="","",IF(OR(F1118="",G1118=""),"IC",VLOOKUP(I1118,Scale[],2,1)))</f>
        <v/>
      </c>
    </row>
    <row r="1119" spans="1:10" x14ac:dyDescent="0.35">
      <c r="A1119" s="34"/>
      <c r="B1119" s="35"/>
      <c r="C1119" s="34"/>
      <c r="D1119" s="34"/>
      <c r="E1119" s="34"/>
      <c r="F1119" s="46"/>
      <c r="G1119" s="46"/>
      <c r="H1119" s="14" t="str">
        <f>IF(Assessment_Sheet[[#This Row],[NAME ]]="","",ROUND((G1119/60*40),0))</f>
        <v/>
      </c>
      <c r="I1119" s="15" t="str">
        <f t="shared" si="18"/>
        <v/>
      </c>
      <c r="J1119" s="16" t="str">
        <f>IF(B1119="","",IF(OR(F1119="",G1119=""),"IC",VLOOKUP(I1119,Scale[],2,1)))</f>
        <v/>
      </c>
    </row>
    <row r="1120" spans="1:10" x14ac:dyDescent="0.35">
      <c r="A1120" s="34"/>
      <c r="B1120" s="35"/>
      <c r="C1120" s="34"/>
      <c r="D1120" s="34"/>
      <c r="E1120" s="34"/>
      <c r="F1120" s="46"/>
      <c r="G1120" s="46"/>
      <c r="H1120" s="14" t="str">
        <f>IF(Assessment_Sheet[[#This Row],[NAME ]]="","",ROUND((G1120/60*40),0))</f>
        <v/>
      </c>
      <c r="I1120" s="15" t="str">
        <f t="shared" si="18"/>
        <v/>
      </c>
      <c r="J1120" s="16" t="str">
        <f>IF(B1120="","",IF(OR(F1120="",G1120=""),"IC",VLOOKUP(I1120,Scale[],2,1)))</f>
        <v/>
      </c>
    </row>
    <row r="1121" spans="1:10" x14ac:dyDescent="0.35">
      <c r="A1121" s="34"/>
      <c r="B1121" s="35"/>
      <c r="C1121" s="34"/>
      <c r="D1121" s="34"/>
      <c r="E1121" s="34"/>
      <c r="F1121" s="46"/>
      <c r="G1121" s="46"/>
      <c r="H1121" s="14" t="str">
        <f>IF(Assessment_Sheet[[#This Row],[NAME ]]="","",ROUND((G1121/60*40),0))</f>
        <v/>
      </c>
      <c r="I1121" s="15" t="str">
        <f t="shared" si="18"/>
        <v/>
      </c>
      <c r="J1121" s="16" t="str">
        <f>IF(B1121="","",IF(OR(F1121="",G1121=""),"IC",VLOOKUP(I1121,Scale[],2,1)))</f>
        <v/>
      </c>
    </row>
    <row r="1122" spans="1:10" x14ac:dyDescent="0.35">
      <c r="A1122" s="34"/>
      <c r="B1122" s="35"/>
      <c r="C1122" s="34"/>
      <c r="D1122" s="34"/>
      <c r="E1122" s="34"/>
      <c r="F1122" s="46"/>
      <c r="G1122" s="46"/>
      <c r="H1122" s="14" t="str">
        <f>IF(Assessment_Sheet[[#This Row],[NAME ]]="","",ROUND((G1122/60*40),0))</f>
        <v/>
      </c>
      <c r="I1122" s="15" t="str">
        <f t="shared" si="18"/>
        <v/>
      </c>
      <c r="J1122" s="16" t="str">
        <f>IF(B1122="","",IF(OR(F1122="",G1122=""),"IC",VLOOKUP(I1122,Scale[],2,1)))</f>
        <v/>
      </c>
    </row>
    <row r="1123" spans="1:10" x14ac:dyDescent="0.35">
      <c r="A1123" s="34"/>
      <c r="B1123" s="35"/>
      <c r="C1123" s="34"/>
      <c r="D1123" s="34"/>
      <c r="E1123" s="34"/>
      <c r="F1123" s="46"/>
      <c r="G1123" s="46"/>
      <c r="H1123" s="14" t="str">
        <f>IF(Assessment_Sheet[[#This Row],[NAME ]]="","",ROUND((G1123/60*40),0))</f>
        <v/>
      </c>
      <c r="I1123" s="15" t="str">
        <f t="shared" si="18"/>
        <v/>
      </c>
      <c r="J1123" s="16" t="str">
        <f>IF(B1123="","",IF(OR(F1123="",G1123=""),"IC",VLOOKUP(I1123,Scale[],2,1)))</f>
        <v/>
      </c>
    </row>
    <row r="1124" spans="1:10" x14ac:dyDescent="0.35">
      <c r="A1124" s="34"/>
      <c r="B1124" s="35"/>
      <c r="C1124" s="34"/>
      <c r="D1124" s="34"/>
      <c r="E1124" s="34"/>
      <c r="F1124" s="46"/>
      <c r="G1124" s="46"/>
      <c r="H1124" s="14" t="str">
        <f>IF(Assessment_Sheet[[#This Row],[NAME ]]="","",ROUND((G1124/60*40),0))</f>
        <v/>
      </c>
      <c r="I1124" s="15" t="str">
        <f t="shared" si="18"/>
        <v/>
      </c>
      <c r="J1124" s="16" t="str">
        <f>IF(B1124="","",IF(OR(F1124="",G1124=""),"IC",VLOOKUP(I1124,Scale[],2,1)))</f>
        <v/>
      </c>
    </row>
    <row r="1125" spans="1:10" x14ac:dyDescent="0.35">
      <c r="A1125" s="34"/>
      <c r="B1125" s="35"/>
      <c r="C1125" s="34"/>
      <c r="D1125" s="34"/>
      <c r="E1125" s="34"/>
      <c r="F1125" s="46"/>
      <c r="G1125" s="46"/>
      <c r="H1125" s="14" t="str">
        <f>IF(Assessment_Sheet[[#This Row],[NAME ]]="","",ROUND((G1125/60*40),0))</f>
        <v/>
      </c>
      <c r="I1125" s="15" t="str">
        <f t="shared" si="18"/>
        <v/>
      </c>
      <c r="J1125" s="16" t="str">
        <f>IF(B1125="","",IF(OR(F1125="",G1125=""),"IC",VLOOKUP(I1125,Scale[],2,1)))</f>
        <v/>
      </c>
    </row>
    <row r="1126" spans="1:10" x14ac:dyDescent="0.35">
      <c r="A1126" s="34"/>
      <c r="B1126" s="35"/>
      <c r="C1126" s="34"/>
      <c r="D1126" s="34"/>
      <c r="E1126" s="34"/>
      <c r="F1126" s="46"/>
      <c r="G1126" s="46"/>
      <c r="H1126" s="14" t="str">
        <f>IF(Assessment_Sheet[[#This Row],[NAME ]]="","",ROUND((G1126/60*40),0))</f>
        <v/>
      </c>
      <c r="I1126" s="15" t="str">
        <f t="shared" si="18"/>
        <v/>
      </c>
      <c r="J1126" s="16" t="str">
        <f>IF(B1126="","",IF(OR(F1126="",G1126=""),"IC",VLOOKUP(I1126,Scale[],2,1)))</f>
        <v/>
      </c>
    </row>
    <row r="1127" spans="1:10" x14ac:dyDescent="0.35">
      <c r="A1127" s="34"/>
      <c r="B1127" s="35"/>
      <c r="C1127" s="34"/>
      <c r="D1127" s="34"/>
      <c r="E1127" s="34"/>
      <c r="F1127" s="46"/>
      <c r="G1127" s="46"/>
      <c r="H1127" s="14" t="str">
        <f>IF(Assessment_Sheet[[#This Row],[NAME ]]="","",ROUND((G1127/60*40),0))</f>
        <v/>
      </c>
      <c r="I1127" s="15" t="str">
        <f t="shared" si="18"/>
        <v/>
      </c>
      <c r="J1127" s="16" t="str">
        <f>IF(B1127="","",IF(OR(F1127="",G1127=""),"IC",VLOOKUP(I1127,Scale[],2,1)))</f>
        <v/>
      </c>
    </row>
    <row r="1128" spans="1:10" x14ac:dyDescent="0.35">
      <c r="A1128" s="34"/>
      <c r="B1128" s="35"/>
      <c r="C1128" s="34"/>
      <c r="D1128" s="34"/>
      <c r="E1128" s="34"/>
      <c r="F1128" s="46"/>
      <c r="G1128" s="46"/>
      <c r="H1128" s="14" t="str">
        <f>IF(Assessment_Sheet[[#This Row],[NAME ]]="","",ROUND((G1128/60*40),0))</f>
        <v/>
      </c>
      <c r="I1128" s="15" t="str">
        <f t="shared" si="18"/>
        <v/>
      </c>
      <c r="J1128" s="16" t="str">
        <f>IF(B1128="","",IF(OR(F1128="",G1128=""),"IC",VLOOKUP(I1128,Scale[],2,1)))</f>
        <v/>
      </c>
    </row>
    <row r="1129" spans="1:10" x14ac:dyDescent="0.35">
      <c r="A1129" s="34"/>
      <c r="B1129" s="35"/>
      <c r="C1129" s="34"/>
      <c r="D1129" s="34"/>
      <c r="E1129" s="34"/>
      <c r="F1129" s="46"/>
      <c r="G1129" s="46"/>
      <c r="H1129" s="14" t="str">
        <f>IF(Assessment_Sheet[[#This Row],[NAME ]]="","",ROUND((G1129/60*40),0))</f>
        <v/>
      </c>
      <c r="I1129" s="15" t="str">
        <f t="shared" si="18"/>
        <v/>
      </c>
      <c r="J1129" s="16" t="str">
        <f>IF(B1129="","",IF(OR(F1129="",G1129=""),"IC",VLOOKUP(I1129,Scale[],2,1)))</f>
        <v/>
      </c>
    </row>
    <row r="1130" spans="1:10" x14ac:dyDescent="0.35">
      <c r="A1130" s="34"/>
      <c r="B1130" s="35"/>
      <c r="C1130" s="34"/>
      <c r="D1130" s="34"/>
      <c r="E1130" s="34"/>
      <c r="F1130" s="46"/>
      <c r="G1130" s="46"/>
      <c r="H1130" s="14" t="str">
        <f>IF(Assessment_Sheet[[#This Row],[NAME ]]="","",ROUND((G1130/60*40),0))</f>
        <v/>
      </c>
      <c r="I1130" s="15" t="str">
        <f t="shared" si="18"/>
        <v/>
      </c>
      <c r="J1130" s="16" t="str">
        <f>IF(B1130="","",IF(OR(F1130="",G1130=""),"IC",VLOOKUP(I1130,Scale[],2,1)))</f>
        <v/>
      </c>
    </row>
    <row r="1131" spans="1:10" x14ac:dyDescent="0.35">
      <c r="A1131" s="34"/>
      <c r="B1131" s="35"/>
      <c r="C1131" s="34"/>
      <c r="D1131" s="34"/>
      <c r="E1131" s="34"/>
      <c r="F1131" s="46"/>
      <c r="G1131" s="46"/>
      <c r="H1131" s="14" t="str">
        <f>IF(Assessment_Sheet[[#This Row],[NAME ]]="","",ROUND((G1131/60*40),0))</f>
        <v/>
      </c>
      <c r="I1131" s="15" t="str">
        <f t="shared" si="18"/>
        <v/>
      </c>
      <c r="J1131" s="16" t="str">
        <f>IF(B1131="","",IF(OR(F1131="",G1131=""),"IC",VLOOKUP(I1131,Scale[],2,1)))</f>
        <v/>
      </c>
    </row>
    <row r="1132" spans="1:10" x14ac:dyDescent="0.35">
      <c r="A1132" s="34"/>
      <c r="B1132" s="35"/>
      <c r="C1132" s="34"/>
      <c r="D1132" s="34"/>
      <c r="E1132" s="34"/>
      <c r="F1132" s="46"/>
      <c r="G1132" s="46"/>
      <c r="H1132" s="14" t="str">
        <f>IF(Assessment_Sheet[[#This Row],[NAME ]]="","",ROUND((G1132/60*40),0))</f>
        <v/>
      </c>
      <c r="I1132" s="15" t="str">
        <f t="shared" si="18"/>
        <v/>
      </c>
      <c r="J1132" s="16" t="str">
        <f>IF(B1132="","",IF(OR(F1132="",G1132=""),"IC",VLOOKUP(I1132,Scale[],2,1)))</f>
        <v/>
      </c>
    </row>
    <row r="1133" spans="1:10" x14ac:dyDescent="0.35">
      <c r="A1133" s="34"/>
      <c r="B1133" s="35"/>
      <c r="C1133" s="34"/>
      <c r="D1133" s="34"/>
      <c r="E1133" s="34"/>
      <c r="F1133" s="46"/>
      <c r="G1133" s="46"/>
      <c r="H1133" s="14" t="str">
        <f>IF(Assessment_Sheet[[#This Row],[NAME ]]="","",ROUND((G1133/60*40),0))</f>
        <v/>
      </c>
      <c r="I1133" s="15" t="str">
        <f t="shared" si="18"/>
        <v/>
      </c>
      <c r="J1133" s="16" t="str">
        <f>IF(B1133="","",IF(OR(F1133="",G1133=""),"IC",VLOOKUP(I1133,Scale[],2,1)))</f>
        <v/>
      </c>
    </row>
    <row r="1134" spans="1:10" x14ac:dyDescent="0.35">
      <c r="A1134" s="34"/>
      <c r="B1134" s="35"/>
      <c r="C1134" s="34"/>
      <c r="D1134" s="34"/>
      <c r="E1134" s="34"/>
      <c r="F1134" s="46"/>
      <c r="G1134" s="46"/>
      <c r="H1134" s="14" t="str">
        <f>IF(Assessment_Sheet[[#This Row],[NAME ]]="","",ROUND((G1134/60*40),0))</f>
        <v/>
      </c>
      <c r="I1134" s="15" t="str">
        <f t="shared" si="18"/>
        <v/>
      </c>
      <c r="J1134" s="16" t="str">
        <f>IF(B1134="","",IF(OR(F1134="",G1134=""),"IC",VLOOKUP(I1134,Scale[],2,1)))</f>
        <v/>
      </c>
    </row>
    <row r="1135" spans="1:10" x14ac:dyDescent="0.35">
      <c r="A1135" s="34"/>
      <c r="B1135" s="35"/>
      <c r="C1135" s="34"/>
      <c r="D1135" s="34"/>
      <c r="E1135" s="34"/>
      <c r="F1135" s="46"/>
      <c r="G1135" s="46"/>
      <c r="H1135" s="14" t="str">
        <f>IF(Assessment_Sheet[[#This Row],[NAME ]]="","",ROUND((G1135/60*40),0))</f>
        <v/>
      </c>
      <c r="I1135" s="15" t="str">
        <f t="shared" si="18"/>
        <v/>
      </c>
      <c r="J1135" s="16" t="str">
        <f>IF(B1135="","",IF(OR(F1135="",G1135=""),"IC",VLOOKUP(I1135,Scale[],2,1)))</f>
        <v/>
      </c>
    </row>
    <row r="1136" spans="1:10" x14ac:dyDescent="0.35">
      <c r="A1136" s="34"/>
      <c r="B1136" s="35"/>
      <c r="C1136" s="34"/>
      <c r="D1136" s="34"/>
      <c r="E1136" s="34"/>
      <c r="F1136" s="46"/>
      <c r="G1136" s="46"/>
      <c r="H1136" s="14" t="str">
        <f>IF(Assessment_Sheet[[#This Row],[NAME ]]="","",ROUND((G1136/60*40),0))</f>
        <v/>
      </c>
      <c r="I1136" s="15" t="str">
        <f t="shared" si="18"/>
        <v/>
      </c>
      <c r="J1136" s="16" t="str">
        <f>IF(B1136="","",IF(OR(F1136="",G1136=""),"IC",VLOOKUP(I1136,Scale[],2,1)))</f>
        <v/>
      </c>
    </row>
    <row r="1137" spans="1:10" x14ac:dyDescent="0.35">
      <c r="A1137" s="34"/>
      <c r="B1137" s="35"/>
      <c r="C1137" s="34"/>
      <c r="D1137" s="34"/>
      <c r="E1137" s="34"/>
      <c r="F1137" s="46"/>
      <c r="G1137" s="46"/>
      <c r="H1137" s="14" t="str">
        <f>IF(Assessment_Sheet[[#This Row],[NAME ]]="","",ROUND((G1137/60*40),0))</f>
        <v/>
      </c>
      <c r="I1137" s="15" t="str">
        <f t="shared" si="18"/>
        <v/>
      </c>
      <c r="J1137" s="16" t="str">
        <f>IF(B1137="","",IF(OR(F1137="",G1137=""),"IC",VLOOKUP(I1137,Scale[],2,1)))</f>
        <v/>
      </c>
    </row>
    <row r="1138" spans="1:10" x14ac:dyDescent="0.35">
      <c r="A1138" s="34"/>
      <c r="B1138" s="35"/>
      <c r="C1138" s="34"/>
      <c r="D1138" s="34"/>
      <c r="E1138" s="34"/>
      <c r="F1138" s="46"/>
      <c r="G1138" s="46"/>
      <c r="H1138" s="14" t="str">
        <f>IF(Assessment_Sheet[[#This Row],[NAME ]]="","",ROUND((G1138/60*40),0))</f>
        <v/>
      </c>
      <c r="I1138" s="15" t="str">
        <f t="shared" si="18"/>
        <v/>
      </c>
      <c r="J1138" s="16" t="str">
        <f>IF(B1138="","",IF(OR(F1138="",G1138=""),"IC",VLOOKUP(I1138,Scale[],2,1)))</f>
        <v/>
      </c>
    </row>
    <row r="1139" spans="1:10" x14ac:dyDescent="0.35">
      <c r="A1139" s="34"/>
      <c r="B1139" s="35"/>
      <c r="C1139" s="34"/>
      <c r="D1139" s="34"/>
      <c r="E1139" s="34"/>
      <c r="F1139" s="46"/>
      <c r="G1139" s="46"/>
      <c r="H1139" s="14" t="str">
        <f>IF(Assessment_Sheet[[#This Row],[NAME ]]="","",ROUND((G1139/60*40),0))</f>
        <v/>
      </c>
      <c r="I1139" s="15" t="str">
        <f t="shared" si="18"/>
        <v/>
      </c>
      <c r="J1139" s="16" t="str">
        <f>IF(B1139="","",IF(OR(F1139="",G1139=""),"IC",VLOOKUP(I1139,Scale[],2,1)))</f>
        <v/>
      </c>
    </row>
    <row r="1140" spans="1:10" x14ac:dyDescent="0.35">
      <c r="A1140" s="34"/>
      <c r="B1140" s="35"/>
      <c r="C1140" s="34"/>
      <c r="D1140" s="34"/>
      <c r="E1140" s="34"/>
      <c r="F1140" s="46"/>
      <c r="G1140" s="46"/>
      <c r="H1140" s="14" t="str">
        <f>IF(Assessment_Sheet[[#This Row],[NAME ]]="","",ROUND((G1140/60*40),0))</f>
        <v/>
      </c>
      <c r="I1140" s="15" t="str">
        <f t="shared" si="18"/>
        <v/>
      </c>
      <c r="J1140" s="16" t="str">
        <f>IF(B1140="","",IF(OR(F1140="",G1140=""),"IC",VLOOKUP(I1140,Scale[],2,1)))</f>
        <v/>
      </c>
    </row>
    <row r="1141" spans="1:10" x14ac:dyDescent="0.35">
      <c r="A1141" s="34"/>
      <c r="B1141" s="35"/>
      <c r="C1141" s="34"/>
      <c r="D1141" s="34"/>
      <c r="E1141" s="34"/>
      <c r="F1141" s="46"/>
      <c r="G1141" s="46"/>
      <c r="H1141" s="14" t="str">
        <f>IF(Assessment_Sheet[[#This Row],[NAME ]]="","",ROUND((G1141/60*40),0))</f>
        <v/>
      </c>
      <c r="I1141" s="15" t="str">
        <f t="shared" si="18"/>
        <v/>
      </c>
      <c r="J1141" s="16" t="str">
        <f>IF(B1141="","",IF(OR(F1141="",G1141=""),"IC",VLOOKUP(I1141,Scale[],2,1)))</f>
        <v/>
      </c>
    </row>
    <row r="1142" spans="1:10" x14ac:dyDescent="0.35">
      <c r="A1142" s="34"/>
      <c r="B1142" s="35"/>
      <c r="C1142" s="34"/>
      <c r="D1142" s="34"/>
      <c r="E1142" s="34"/>
      <c r="F1142" s="46"/>
      <c r="G1142" s="46"/>
      <c r="H1142" s="14" t="str">
        <f>IF(Assessment_Sheet[[#This Row],[NAME ]]="","",ROUND((G1142/60*40),0))</f>
        <v/>
      </c>
      <c r="I1142" s="15" t="str">
        <f t="shared" si="18"/>
        <v/>
      </c>
      <c r="J1142" s="16" t="str">
        <f>IF(B1142="","",IF(OR(F1142="",G1142=""),"IC",VLOOKUP(I1142,Scale[],2,1)))</f>
        <v/>
      </c>
    </row>
    <row r="1143" spans="1:10" x14ac:dyDescent="0.35">
      <c r="A1143" s="34"/>
      <c r="B1143" s="35"/>
      <c r="C1143" s="34"/>
      <c r="D1143" s="34"/>
      <c r="E1143" s="34"/>
      <c r="F1143" s="46"/>
      <c r="G1143" s="46"/>
      <c r="H1143" s="14" t="str">
        <f>IF(Assessment_Sheet[[#This Row],[NAME ]]="","",ROUND((G1143/60*40),0))</f>
        <v/>
      </c>
      <c r="I1143" s="15" t="str">
        <f t="shared" si="18"/>
        <v/>
      </c>
      <c r="J1143" s="16" t="str">
        <f>IF(B1143="","",IF(OR(F1143="",G1143=""),"IC",VLOOKUP(I1143,Scale[],2,1)))</f>
        <v/>
      </c>
    </row>
    <row r="1144" spans="1:10" x14ac:dyDescent="0.35">
      <c r="A1144" s="34"/>
      <c r="B1144" s="35"/>
      <c r="C1144" s="34"/>
      <c r="D1144" s="34"/>
      <c r="E1144" s="34"/>
      <c r="F1144" s="46"/>
      <c r="G1144" s="46"/>
      <c r="H1144" s="14" t="str">
        <f>IF(Assessment_Sheet[[#This Row],[NAME ]]="","",ROUND((G1144/60*40),0))</f>
        <v/>
      </c>
      <c r="I1144" s="15" t="str">
        <f t="shared" si="18"/>
        <v/>
      </c>
      <c r="J1144" s="16" t="str">
        <f>IF(B1144="","",IF(OR(F1144="",G1144=""),"IC",VLOOKUP(I1144,Scale[],2,1)))</f>
        <v/>
      </c>
    </row>
    <row r="1145" spans="1:10" x14ac:dyDescent="0.35">
      <c r="A1145" s="34"/>
      <c r="B1145" s="35"/>
      <c r="C1145" s="34"/>
      <c r="D1145" s="34"/>
      <c r="E1145" s="34"/>
      <c r="F1145" s="46"/>
      <c r="G1145" s="46"/>
      <c r="H1145" s="14" t="str">
        <f>IF(Assessment_Sheet[[#This Row],[NAME ]]="","",ROUND((G1145/60*40),0))</f>
        <v/>
      </c>
      <c r="I1145" s="15" t="str">
        <f t="shared" si="18"/>
        <v/>
      </c>
      <c r="J1145" s="16" t="str">
        <f>IF(B1145="","",IF(OR(F1145="",G1145=""),"IC",VLOOKUP(I1145,Scale[],2,1)))</f>
        <v/>
      </c>
    </row>
    <row r="1146" spans="1:10" x14ac:dyDescent="0.35">
      <c r="A1146" s="34"/>
      <c r="B1146" s="35"/>
      <c r="C1146" s="34"/>
      <c r="D1146" s="34"/>
      <c r="E1146" s="34"/>
      <c r="F1146" s="46"/>
      <c r="G1146" s="46"/>
      <c r="H1146" s="14" t="str">
        <f>IF(Assessment_Sheet[[#This Row],[NAME ]]="","",ROUND((G1146/60*40),0))</f>
        <v/>
      </c>
      <c r="I1146" s="15" t="str">
        <f t="shared" si="18"/>
        <v/>
      </c>
      <c r="J1146" s="16" t="str">
        <f>IF(B1146="","",IF(OR(F1146="",G1146=""),"IC",VLOOKUP(I1146,Scale[],2,1)))</f>
        <v/>
      </c>
    </row>
    <row r="1147" spans="1:10" x14ac:dyDescent="0.35">
      <c r="A1147" s="34"/>
      <c r="B1147" s="35"/>
      <c r="C1147" s="34"/>
      <c r="D1147" s="34"/>
      <c r="E1147" s="34"/>
      <c r="F1147" s="46"/>
      <c r="G1147" s="46"/>
      <c r="H1147" s="14" t="str">
        <f>IF(Assessment_Sheet[[#This Row],[NAME ]]="","",ROUND((G1147/60*40),0))</f>
        <v/>
      </c>
      <c r="I1147" s="15" t="str">
        <f t="shared" si="18"/>
        <v/>
      </c>
      <c r="J1147" s="16" t="str">
        <f>IF(B1147="","",IF(OR(F1147="",G1147=""),"IC",VLOOKUP(I1147,Scale[],2,1)))</f>
        <v/>
      </c>
    </row>
    <row r="1148" spans="1:10" x14ac:dyDescent="0.35">
      <c r="A1148" s="34"/>
      <c r="B1148" s="35"/>
      <c r="C1148" s="34"/>
      <c r="D1148" s="34"/>
      <c r="E1148" s="34"/>
      <c r="F1148" s="46"/>
      <c r="G1148" s="46"/>
      <c r="H1148" s="14" t="str">
        <f>IF(Assessment_Sheet[[#This Row],[NAME ]]="","",ROUND((G1148/60*40),0))</f>
        <v/>
      </c>
      <c r="I1148" s="15" t="str">
        <f t="shared" si="18"/>
        <v/>
      </c>
      <c r="J1148" s="16" t="str">
        <f>IF(B1148="","",IF(OR(F1148="",G1148=""),"IC",VLOOKUP(I1148,Scale[],2,1)))</f>
        <v/>
      </c>
    </row>
    <row r="1149" spans="1:10" x14ac:dyDescent="0.35">
      <c r="A1149" s="34"/>
      <c r="B1149" s="35"/>
      <c r="C1149" s="34"/>
      <c r="D1149" s="34"/>
      <c r="E1149" s="34"/>
      <c r="F1149" s="46"/>
      <c r="G1149" s="46"/>
      <c r="H1149" s="14" t="str">
        <f>IF(Assessment_Sheet[[#This Row],[NAME ]]="","",ROUND((G1149/60*40),0))</f>
        <v/>
      </c>
      <c r="I1149" s="15" t="str">
        <f t="shared" si="18"/>
        <v/>
      </c>
      <c r="J1149" s="16" t="str">
        <f>IF(B1149="","",IF(OR(F1149="",G1149=""),"IC",VLOOKUP(I1149,Scale[],2,1)))</f>
        <v/>
      </c>
    </row>
    <row r="1150" spans="1:10" x14ac:dyDescent="0.35">
      <c r="A1150" s="34"/>
      <c r="B1150" s="35"/>
      <c r="C1150" s="34"/>
      <c r="D1150" s="34"/>
      <c r="E1150" s="34"/>
      <c r="F1150" s="46"/>
      <c r="G1150" s="46"/>
      <c r="H1150" s="14" t="str">
        <f>IF(Assessment_Sheet[[#This Row],[NAME ]]="","",ROUND((G1150/60*40),0))</f>
        <v/>
      </c>
      <c r="I1150" s="15" t="str">
        <f t="shared" si="18"/>
        <v/>
      </c>
      <c r="J1150" s="16" t="str">
        <f>IF(B1150="","",IF(OR(F1150="",G1150=""),"IC",VLOOKUP(I1150,Scale[],2,1)))</f>
        <v/>
      </c>
    </row>
    <row r="1151" spans="1:10" x14ac:dyDescent="0.35">
      <c r="A1151" s="34"/>
      <c r="B1151" s="35"/>
      <c r="C1151" s="34"/>
      <c r="D1151" s="34"/>
      <c r="E1151" s="34"/>
      <c r="F1151" s="46"/>
      <c r="G1151" s="46"/>
      <c r="H1151" s="14" t="str">
        <f>IF(Assessment_Sheet[[#This Row],[NAME ]]="","",ROUND((G1151/60*40),0))</f>
        <v/>
      </c>
      <c r="I1151" s="15" t="str">
        <f t="shared" si="18"/>
        <v/>
      </c>
      <c r="J1151" s="16" t="str">
        <f>IF(B1151="","",IF(OR(F1151="",G1151=""),"IC",VLOOKUP(I1151,Scale[],2,1)))</f>
        <v/>
      </c>
    </row>
    <row r="1152" spans="1:10" x14ac:dyDescent="0.35">
      <c r="A1152" s="34"/>
      <c r="B1152" s="35"/>
      <c r="C1152" s="34"/>
      <c r="D1152" s="34"/>
      <c r="E1152" s="34"/>
      <c r="F1152" s="46"/>
      <c r="G1152" s="46"/>
      <c r="H1152" s="14" t="str">
        <f>IF(Assessment_Sheet[[#This Row],[NAME ]]="","",ROUND((G1152/60*40),0))</f>
        <v/>
      </c>
      <c r="I1152" s="15" t="str">
        <f t="shared" si="18"/>
        <v/>
      </c>
      <c r="J1152" s="16" t="str">
        <f>IF(B1152="","",IF(OR(F1152="",G1152=""),"IC",VLOOKUP(I1152,Scale[],2,1)))</f>
        <v/>
      </c>
    </row>
    <row r="1153" spans="1:10" x14ac:dyDescent="0.35">
      <c r="A1153" s="34"/>
      <c r="B1153" s="35"/>
      <c r="C1153" s="34"/>
      <c r="D1153" s="34"/>
      <c r="E1153" s="34"/>
      <c r="F1153" s="46"/>
      <c r="G1153" s="46"/>
      <c r="H1153" s="14" t="str">
        <f>IF(Assessment_Sheet[[#This Row],[NAME ]]="","",ROUND((G1153/60*40),0))</f>
        <v/>
      </c>
      <c r="I1153" s="15" t="str">
        <f t="shared" si="18"/>
        <v/>
      </c>
      <c r="J1153" s="16" t="str">
        <f>IF(B1153="","",IF(OR(F1153="",G1153=""),"IC",VLOOKUP(I1153,Scale[],2,1)))</f>
        <v/>
      </c>
    </row>
    <row r="1154" spans="1:10" x14ac:dyDescent="0.35">
      <c r="A1154" s="34"/>
      <c r="B1154" s="35"/>
      <c r="C1154" s="34"/>
      <c r="D1154" s="34"/>
      <c r="E1154" s="34"/>
      <c r="F1154" s="46"/>
      <c r="G1154" s="46"/>
      <c r="H1154" s="14" t="str">
        <f>IF(Assessment_Sheet[[#This Row],[NAME ]]="","",ROUND((G1154/60*40),0))</f>
        <v/>
      </c>
      <c r="I1154" s="15" t="str">
        <f t="shared" si="18"/>
        <v/>
      </c>
      <c r="J1154" s="16" t="str">
        <f>IF(B1154="","",IF(OR(F1154="",G1154=""),"IC",VLOOKUP(I1154,Scale[],2,1)))</f>
        <v/>
      </c>
    </row>
    <row r="1155" spans="1:10" x14ac:dyDescent="0.35">
      <c r="A1155" s="34"/>
      <c r="B1155" s="35"/>
      <c r="C1155" s="34"/>
      <c r="D1155" s="34"/>
      <c r="E1155" s="34"/>
      <c r="F1155" s="46"/>
      <c r="G1155" s="46"/>
      <c r="H1155" s="14" t="str">
        <f>IF(Assessment_Sheet[[#This Row],[NAME ]]="","",ROUND((G1155/60*40),0))</f>
        <v/>
      </c>
      <c r="I1155" s="15" t="str">
        <f t="shared" si="18"/>
        <v/>
      </c>
      <c r="J1155" s="16" t="str">
        <f>IF(B1155="","",IF(OR(F1155="",G1155=""),"IC",VLOOKUP(I1155,Scale[],2,1)))</f>
        <v/>
      </c>
    </row>
    <row r="1156" spans="1:10" x14ac:dyDescent="0.35">
      <c r="A1156" s="34"/>
      <c r="B1156" s="35"/>
      <c r="C1156" s="34"/>
      <c r="D1156" s="34"/>
      <c r="E1156" s="34"/>
      <c r="F1156" s="46"/>
      <c r="G1156" s="46"/>
      <c r="H1156" s="14" t="str">
        <f>IF(Assessment_Sheet[[#This Row],[NAME ]]="","",ROUND((G1156/60*40),0))</f>
        <v/>
      </c>
      <c r="I1156" s="15" t="str">
        <f t="shared" si="18"/>
        <v/>
      </c>
      <c r="J1156" s="16" t="str">
        <f>IF(B1156="","",IF(OR(F1156="",G1156=""),"IC",VLOOKUP(I1156,Scale[],2,1)))</f>
        <v/>
      </c>
    </row>
    <row r="1157" spans="1:10" x14ac:dyDescent="0.35">
      <c r="A1157" s="34"/>
      <c r="B1157" s="35"/>
      <c r="C1157" s="34"/>
      <c r="D1157" s="34"/>
      <c r="E1157" s="34"/>
      <c r="F1157" s="46"/>
      <c r="G1157" s="46"/>
      <c r="H1157" s="14" t="str">
        <f>IF(Assessment_Sheet[[#This Row],[NAME ]]="","",ROUND((G1157/60*40),0))</f>
        <v/>
      </c>
      <c r="I1157" s="15" t="str">
        <f t="shared" si="18"/>
        <v/>
      </c>
      <c r="J1157" s="16" t="str">
        <f>IF(B1157="","",IF(OR(F1157="",G1157=""),"IC",VLOOKUP(I1157,Scale[],2,1)))</f>
        <v/>
      </c>
    </row>
    <row r="1158" spans="1:10" x14ac:dyDescent="0.35">
      <c r="A1158" s="34"/>
      <c r="B1158" s="35"/>
      <c r="C1158" s="34"/>
      <c r="D1158" s="34"/>
      <c r="E1158" s="34"/>
      <c r="F1158" s="46"/>
      <c r="G1158" s="46"/>
      <c r="H1158" s="14" t="str">
        <f>IF(Assessment_Sheet[[#This Row],[NAME ]]="","",ROUND((G1158/60*40),0))</f>
        <v/>
      </c>
      <c r="I1158" s="15" t="str">
        <f t="shared" si="18"/>
        <v/>
      </c>
      <c r="J1158" s="16" t="str">
        <f>IF(B1158="","",IF(OR(F1158="",G1158=""),"IC",VLOOKUP(I1158,Scale[],2,1)))</f>
        <v/>
      </c>
    </row>
    <row r="1159" spans="1:10" x14ac:dyDescent="0.35">
      <c r="A1159" s="34"/>
      <c r="B1159" s="35"/>
      <c r="C1159" s="34"/>
      <c r="D1159" s="34"/>
      <c r="E1159" s="34"/>
      <c r="F1159" s="46"/>
      <c r="G1159" s="46"/>
      <c r="H1159" s="14" t="str">
        <f>IF(Assessment_Sheet[[#This Row],[NAME ]]="","",ROUND((G1159/60*40),0))</f>
        <v/>
      </c>
      <c r="I1159" s="15" t="str">
        <f t="shared" si="18"/>
        <v/>
      </c>
      <c r="J1159" s="16" t="str">
        <f>IF(B1159="","",IF(OR(F1159="",G1159=""),"IC",VLOOKUP(I1159,Scale[],2,1)))</f>
        <v/>
      </c>
    </row>
    <row r="1160" spans="1:10" x14ac:dyDescent="0.35">
      <c r="A1160" s="34"/>
      <c r="B1160" s="35"/>
      <c r="C1160" s="34"/>
      <c r="D1160" s="34"/>
      <c r="E1160" s="34"/>
      <c r="F1160" s="46"/>
      <c r="G1160" s="46"/>
      <c r="H1160" s="14" t="str">
        <f>IF(Assessment_Sheet[[#This Row],[NAME ]]="","",ROUND((G1160/60*40),0))</f>
        <v/>
      </c>
      <c r="I1160" s="15" t="str">
        <f t="shared" ref="I1160:I1178" si="19">IFERROR(ROUND((F1160+H1160),0),"")</f>
        <v/>
      </c>
      <c r="J1160" s="16" t="str">
        <f>IF(B1160="","",IF(OR(F1160="",G1160=""),"IC",VLOOKUP(I1160,Scale[],2,1)))</f>
        <v/>
      </c>
    </row>
    <row r="1161" spans="1:10" x14ac:dyDescent="0.35">
      <c r="A1161" s="34"/>
      <c r="B1161" s="35"/>
      <c r="C1161" s="34"/>
      <c r="D1161" s="34"/>
      <c r="E1161" s="34"/>
      <c r="F1161" s="46"/>
      <c r="G1161" s="46"/>
      <c r="H1161" s="14" t="str">
        <f>IF(Assessment_Sheet[[#This Row],[NAME ]]="","",ROUND((G1161/60*40),0))</f>
        <v/>
      </c>
      <c r="I1161" s="15" t="str">
        <f t="shared" si="19"/>
        <v/>
      </c>
      <c r="J1161" s="16" t="str">
        <f>IF(B1161="","",IF(OR(F1161="",G1161=""),"IC",VLOOKUP(I1161,Scale[],2,1)))</f>
        <v/>
      </c>
    </row>
    <row r="1162" spans="1:10" x14ac:dyDescent="0.35">
      <c r="A1162" s="34"/>
      <c r="B1162" s="35"/>
      <c r="C1162" s="34"/>
      <c r="D1162" s="34"/>
      <c r="E1162" s="34"/>
      <c r="F1162" s="46"/>
      <c r="G1162" s="46"/>
      <c r="H1162" s="14" t="str">
        <f>IF(Assessment_Sheet[[#This Row],[NAME ]]="","",ROUND((G1162/60*40),0))</f>
        <v/>
      </c>
      <c r="I1162" s="15" t="str">
        <f t="shared" si="19"/>
        <v/>
      </c>
      <c r="J1162" s="16" t="str">
        <f>IF(B1162="","",IF(OR(F1162="",G1162=""),"IC",VLOOKUP(I1162,Scale[],2,1)))</f>
        <v/>
      </c>
    </row>
    <row r="1163" spans="1:10" x14ac:dyDescent="0.35">
      <c r="A1163" s="34"/>
      <c r="B1163" s="35"/>
      <c r="C1163" s="34"/>
      <c r="D1163" s="34"/>
      <c r="E1163" s="34"/>
      <c r="F1163" s="46"/>
      <c r="G1163" s="46"/>
      <c r="H1163" s="14" t="str">
        <f>IF(Assessment_Sheet[[#This Row],[NAME ]]="","",ROUND((G1163/60*40),0))</f>
        <v/>
      </c>
      <c r="I1163" s="15" t="str">
        <f t="shared" si="19"/>
        <v/>
      </c>
      <c r="J1163" s="16" t="str">
        <f>IF(B1163="","",IF(OR(F1163="",G1163=""),"IC",VLOOKUP(I1163,Scale[],2,1)))</f>
        <v/>
      </c>
    </row>
    <row r="1164" spans="1:10" x14ac:dyDescent="0.35">
      <c r="A1164" s="34"/>
      <c r="B1164" s="35"/>
      <c r="C1164" s="34"/>
      <c r="D1164" s="34"/>
      <c r="E1164" s="34"/>
      <c r="F1164" s="46"/>
      <c r="G1164" s="46"/>
      <c r="H1164" s="14" t="str">
        <f>IF(Assessment_Sheet[[#This Row],[NAME ]]="","",ROUND((G1164/60*40),0))</f>
        <v/>
      </c>
      <c r="I1164" s="15" t="str">
        <f t="shared" si="19"/>
        <v/>
      </c>
      <c r="J1164" s="16" t="str">
        <f>IF(B1164="","",IF(OR(F1164="",G1164=""),"IC",VLOOKUP(I1164,Scale[],2,1)))</f>
        <v/>
      </c>
    </row>
    <row r="1165" spans="1:10" x14ac:dyDescent="0.35">
      <c r="A1165" s="34"/>
      <c r="B1165" s="35"/>
      <c r="C1165" s="34"/>
      <c r="D1165" s="34"/>
      <c r="E1165" s="34"/>
      <c r="F1165" s="46"/>
      <c r="G1165" s="46"/>
      <c r="H1165" s="14" t="str">
        <f>IF(Assessment_Sheet[[#This Row],[NAME ]]="","",ROUND((G1165/60*40),0))</f>
        <v/>
      </c>
      <c r="I1165" s="15" t="str">
        <f t="shared" si="19"/>
        <v/>
      </c>
      <c r="J1165" s="16" t="str">
        <f>IF(B1165="","",IF(OR(F1165="",G1165=""),"IC",VLOOKUP(I1165,Scale[],2,1)))</f>
        <v/>
      </c>
    </row>
    <row r="1166" spans="1:10" x14ac:dyDescent="0.35">
      <c r="A1166" s="34"/>
      <c r="B1166" s="35"/>
      <c r="C1166" s="34"/>
      <c r="D1166" s="34"/>
      <c r="E1166" s="34"/>
      <c r="F1166" s="46"/>
      <c r="G1166" s="46"/>
      <c r="H1166" s="14" t="str">
        <f>IF(Assessment_Sheet[[#This Row],[NAME ]]="","",ROUND((G1166/60*40),0))</f>
        <v/>
      </c>
      <c r="I1166" s="15" t="str">
        <f t="shared" si="19"/>
        <v/>
      </c>
      <c r="J1166" s="16" t="str">
        <f>IF(B1166="","",IF(OR(F1166="",G1166=""),"IC",VLOOKUP(I1166,Scale[],2,1)))</f>
        <v/>
      </c>
    </row>
    <row r="1167" spans="1:10" x14ac:dyDescent="0.35">
      <c r="A1167" s="34"/>
      <c r="B1167" s="35"/>
      <c r="C1167" s="34"/>
      <c r="D1167" s="34"/>
      <c r="E1167" s="34"/>
      <c r="F1167" s="46"/>
      <c r="G1167" s="46"/>
      <c r="H1167" s="14" t="str">
        <f>IF(Assessment_Sheet[[#This Row],[NAME ]]="","",ROUND((G1167/60*40),0))</f>
        <v/>
      </c>
      <c r="I1167" s="15" t="str">
        <f t="shared" si="19"/>
        <v/>
      </c>
      <c r="J1167" s="16" t="str">
        <f>IF(B1167="","",IF(OR(F1167="",G1167=""),"IC",VLOOKUP(I1167,Scale[],2,1)))</f>
        <v/>
      </c>
    </row>
    <row r="1168" spans="1:10" x14ac:dyDescent="0.35">
      <c r="A1168" s="34"/>
      <c r="B1168" s="35"/>
      <c r="C1168" s="34"/>
      <c r="D1168" s="34"/>
      <c r="E1168" s="34"/>
      <c r="F1168" s="46"/>
      <c r="G1168" s="46"/>
      <c r="H1168" s="14" t="str">
        <f>IF(Assessment_Sheet[[#This Row],[NAME ]]="","",ROUND((G1168/60*40),0))</f>
        <v/>
      </c>
      <c r="I1168" s="15" t="str">
        <f t="shared" si="19"/>
        <v/>
      </c>
      <c r="J1168" s="16" t="str">
        <f>IF(B1168="","",IF(OR(F1168="",G1168=""),"IC",VLOOKUP(I1168,Scale[],2,1)))</f>
        <v/>
      </c>
    </row>
    <row r="1169" spans="1:10" x14ac:dyDescent="0.35">
      <c r="A1169" s="34"/>
      <c r="B1169" s="35"/>
      <c r="C1169" s="34"/>
      <c r="D1169" s="34"/>
      <c r="E1169" s="34"/>
      <c r="F1169" s="46"/>
      <c r="G1169" s="46"/>
      <c r="H1169" s="14" t="str">
        <f>IF(Assessment_Sheet[[#This Row],[NAME ]]="","",ROUND((G1169/60*40),0))</f>
        <v/>
      </c>
      <c r="I1169" s="15" t="str">
        <f t="shared" si="19"/>
        <v/>
      </c>
      <c r="J1169" s="16" t="str">
        <f>IF(B1169="","",IF(OR(F1169="",G1169=""),"IC",VLOOKUP(I1169,Scale[],2,1)))</f>
        <v/>
      </c>
    </row>
    <row r="1170" spans="1:10" x14ac:dyDescent="0.35">
      <c r="A1170" s="34"/>
      <c r="B1170" s="35"/>
      <c r="C1170" s="34"/>
      <c r="D1170" s="34"/>
      <c r="E1170" s="34"/>
      <c r="F1170" s="46"/>
      <c r="G1170" s="46"/>
      <c r="H1170" s="14" t="str">
        <f>IF(Assessment_Sheet[[#This Row],[NAME ]]="","",ROUND((G1170/60*40),0))</f>
        <v/>
      </c>
      <c r="I1170" s="15" t="str">
        <f t="shared" si="19"/>
        <v/>
      </c>
      <c r="J1170" s="16" t="str">
        <f>IF(B1170="","",IF(OR(F1170="",G1170=""),"IC",VLOOKUP(I1170,Scale[],2,1)))</f>
        <v/>
      </c>
    </row>
    <row r="1171" spans="1:10" x14ac:dyDescent="0.35">
      <c r="A1171" s="34"/>
      <c r="B1171" s="35"/>
      <c r="C1171" s="34"/>
      <c r="D1171" s="34"/>
      <c r="E1171" s="34"/>
      <c r="F1171" s="46"/>
      <c r="G1171" s="46"/>
      <c r="H1171" s="14" t="str">
        <f>IF(Assessment_Sheet[[#This Row],[NAME ]]="","",ROUND((G1171/60*40),0))</f>
        <v/>
      </c>
      <c r="I1171" s="15" t="str">
        <f t="shared" si="19"/>
        <v/>
      </c>
      <c r="J1171" s="16" t="str">
        <f>IF(B1171="","",IF(OR(F1171="",G1171=""),"IC",VLOOKUP(I1171,Scale[],2,1)))</f>
        <v/>
      </c>
    </row>
    <row r="1172" spans="1:10" x14ac:dyDescent="0.35">
      <c r="A1172" s="34"/>
      <c r="B1172" s="35"/>
      <c r="C1172" s="34"/>
      <c r="D1172" s="34"/>
      <c r="E1172" s="34"/>
      <c r="F1172" s="46"/>
      <c r="G1172" s="46"/>
      <c r="H1172" s="14" t="str">
        <f>IF(Assessment_Sheet[[#This Row],[NAME ]]="","",ROUND((G1172/60*40),0))</f>
        <v/>
      </c>
      <c r="I1172" s="15" t="str">
        <f t="shared" si="19"/>
        <v/>
      </c>
      <c r="J1172" s="16" t="str">
        <f>IF(B1172="","",IF(OR(F1172="",G1172=""),"IC",VLOOKUP(I1172,Scale[],2,1)))</f>
        <v/>
      </c>
    </row>
    <row r="1173" spans="1:10" x14ac:dyDescent="0.35">
      <c r="A1173" s="34"/>
      <c r="B1173" s="35"/>
      <c r="C1173" s="34"/>
      <c r="D1173" s="34"/>
      <c r="E1173" s="34"/>
      <c r="F1173" s="46"/>
      <c r="G1173" s="46"/>
      <c r="H1173" s="14" t="str">
        <f>IF(Assessment_Sheet[[#This Row],[NAME ]]="","",ROUND((G1173/60*40),0))</f>
        <v/>
      </c>
      <c r="I1173" s="15" t="str">
        <f t="shared" si="19"/>
        <v/>
      </c>
      <c r="J1173" s="16" t="str">
        <f>IF(B1173="","",IF(OR(F1173="",G1173=""),"IC",VLOOKUP(I1173,Scale[],2,1)))</f>
        <v/>
      </c>
    </row>
    <row r="1174" spans="1:10" x14ac:dyDescent="0.35">
      <c r="A1174" s="34"/>
      <c r="B1174" s="35"/>
      <c r="C1174" s="34"/>
      <c r="D1174" s="34"/>
      <c r="E1174" s="34"/>
      <c r="F1174" s="46"/>
      <c r="G1174" s="46"/>
      <c r="H1174" s="14" t="str">
        <f>IF(Assessment_Sheet[[#This Row],[NAME ]]="","",ROUND((G1174/60*40),0))</f>
        <v/>
      </c>
      <c r="I1174" s="15" t="str">
        <f t="shared" si="19"/>
        <v/>
      </c>
      <c r="J1174" s="16" t="str">
        <f>IF(B1174="","",IF(OR(F1174="",G1174=""),"IC",VLOOKUP(I1174,Scale[],2,1)))</f>
        <v/>
      </c>
    </row>
    <row r="1175" spans="1:10" x14ac:dyDescent="0.35">
      <c r="A1175" s="34"/>
      <c r="B1175" s="35"/>
      <c r="C1175" s="34"/>
      <c r="D1175" s="34"/>
      <c r="E1175" s="34"/>
      <c r="F1175" s="46"/>
      <c r="G1175" s="46"/>
      <c r="H1175" s="14" t="str">
        <f>IF(Assessment_Sheet[[#This Row],[NAME ]]="","",ROUND((G1175/60*40),0))</f>
        <v/>
      </c>
      <c r="I1175" s="15" t="str">
        <f t="shared" si="19"/>
        <v/>
      </c>
      <c r="J1175" s="16" t="str">
        <f>IF(B1175="","",IF(OR(F1175="",G1175=""),"IC",VLOOKUP(I1175,Scale[],2,1)))</f>
        <v/>
      </c>
    </row>
    <row r="1176" spans="1:10" x14ac:dyDescent="0.35">
      <c r="A1176" s="34"/>
      <c r="B1176" s="35"/>
      <c r="C1176" s="34"/>
      <c r="D1176" s="34"/>
      <c r="E1176" s="34"/>
      <c r="F1176" s="46"/>
      <c r="G1176" s="46"/>
      <c r="H1176" s="14" t="str">
        <f>IF(Assessment_Sheet[[#This Row],[NAME ]]="","",ROUND((G1176/60*40),0))</f>
        <v/>
      </c>
      <c r="I1176" s="15" t="str">
        <f t="shared" si="19"/>
        <v/>
      </c>
      <c r="J1176" s="16" t="str">
        <f>IF(B1176="","",IF(OR(F1176="",G1176=""),"IC",VLOOKUP(I1176,Scale[],2,1)))</f>
        <v/>
      </c>
    </row>
    <row r="1177" spans="1:10" x14ac:dyDescent="0.35">
      <c r="A1177" s="34"/>
      <c r="B1177" s="35"/>
      <c r="C1177" s="34"/>
      <c r="D1177" s="34"/>
      <c r="E1177" s="34"/>
      <c r="F1177" s="46"/>
      <c r="G1177" s="46"/>
      <c r="H1177" s="14" t="str">
        <f>IF(Assessment_Sheet[[#This Row],[NAME ]]="","",ROUND((G1177/60*40),0))</f>
        <v/>
      </c>
      <c r="I1177" s="15" t="str">
        <f t="shared" si="19"/>
        <v/>
      </c>
      <c r="J1177" s="16" t="str">
        <f>IF(B1177="","",IF(OR(F1177="",G1177=""),"IC",VLOOKUP(I1177,Scale[],2,1)))</f>
        <v/>
      </c>
    </row>
    <row r="1178" spans="1:10" x14ac:dyDescent="0.35">
      <c r="A1178" s="34"/>
      <c r="B1178" s="36"/>
      <c r="C1178" s="37"/>
      <c r="D1178" s="37"/>
      <c r="E1178" s="37"/>
      <c r="F1178" s="47"/>
      <c r="G1178" s="47"/>
      <c r="H1178" s="17" t="str">
        <f>IF(Assessment_Sheet[[#This Row],[NAME ]]="","",ROUND((G1178/60*40),0))</f>
        <v/>
      </c>
      <c r="I1178" s="18" t="str">
        <f t="shared" si="19"/>
        <v/>
      </c>
      <c r="J1178" s="19" t="str">
        <f>IF(B1178="","",IF(OR(F1178="",G1178=""),"IC",VLOOKUP(I1178,Scale[],2,1)))</f>
        <v/>
      </c>
    </row>
  </sheetData>
  <sheetProtection algorithmName="SHA-512" hashValue="BTzfXwUATft/89ExGURBYyPuOGv1zbxR5a1tdelKZtW/d+f8jyQLLsVvRxvTgYQrWO2ZN0sWJGMLgSk9w81nGA==" saltValue="96FVXBmIrGLs8h9lSfwFiw==" spinCount="100000" sheet="1" objects="1" scenarios="1"/>
  <mergeCells count="4">
    <mergeCell ref="I3:J3"/>
    <mergeCell ref="C1:F1"/>
    <mergeCell ref="C2:F2"/>
    <mergeCell ref="C3:F3"/>
  </mergeCells>
  <phoneticPr fontId="5" type="noConversion"/>
  <dataValidations count="2">
    <dataValidation type="whole" allowBlank="1" showInputMessage="1" showErrorMessage="1" promptTitle="ERROR" sqref="G7:G1178" xr:uid="{00000000-0002-0000-0000-000000000000}">
      <formula1>0</formula1>
      <formula2>60</formula2>
    </dataValidation>
    <dataValidation type="whole" allowBlank="1" showInputMessage="1" showErrorMessage="1" sqref="F7:F1178" xr:uid="{00000000-0002-0000-0000-000001000000}">
      <formula1>0</formula1>
      <formula2>60</formula2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9"/>
  <sheetViews>
    <sheetView zoomScale="115" zoomScaleNormal="115" workbookViewId="0">
      <selection activeCell="A9" sqref="A9"/>
    </sheetView>
  </sheetViews>
  <sheetFormatPr defaultRowHeight="14.5" x14ac:dyDescent="0.35"/>
  <sheetData>
    <row r="1" spans="3:4" x14ac:dyDescent="0.35">
      <c r="C1" t="s">
        <v>18</v>
      </c>
      <c r="D1" t="s">
        <v>19</v>
      </c>
    </row>
    <row r="2" spans="3:4" x14ac:dyDescent="0.35">
      <c r="C2">
        <v>0</v>
      </c>
      <c r="D2" t="s">
        <v>10</v>
      </c>
    </row>
    <row r="3" spans="3:4" x14ac:dyDescent="0.35">
      <c r="C3">
        <v>50</v>
      </c>
      <c r="D3" t="s">
        <v>11</v>
      </c>
    </row>
    <row r="4" spans="3:4" x14ac:dyDescent="0.35">
      <c r="C4">
        <v>55</v>
      </c>
      <c r="D4" t="s">
        <v>12</v>
      </c>
    </row>
    <row r="5" spans="3:4" x14ac:dyDescent="0.35">
      <c r="C5">
        <v>60</v>
      </c>
      <c r="D5" t="s">
        <v>13</v>
      </c>
    </row>
    <row r="6" spans="3:4" x14ac:dyDescent="0.35">
      <c r="C6">
        <v>65</v>
      </c>
      <c r="D6" t="s">
        <v>14</v>
      </c>
    </row>
    <row r="7" spans="3:4" x14ac:dyDescent="0.35">
      <c r="C7">
        <v>70</v>
      </c>
      <c r="D7" t="s">
        <v>15</v>
      </c>
    </row>
    <row r="8" spans="3:4" x14ac:dyDescent="0.35">
      <c r="C8">
        <v>75</v>
      </c>
      <c r="D8" t="s">
        <v>16</v>
      </c>
    </row>
    <row r="9" spans="3:4" x14ac:dyDescent="0.35">
      <c r="C9">
        <v>80</v>
      </c>
      <c r="D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ITECPD</dc:creator>
  <cp:lastModifiedBy>Anita Brako-Yeboah</cp:lastModifiedBy>
  <dcterms:created xsi:type="dcterms:W3CDTF">2024-03-18T16:10:23Z</dcterms:created>
  <dcterms:modified xsi:type="dcterms:W3CDTF">2026-09-03T22:21:17Z</dcterms:modified>
</cp:coreProperties>
</file>